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DE08EC-D1AC-4518-8701-520CE930CAF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KITCHEN EQUIPMENT LOAD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15" i="5" s="1"/>
  <c r="D8" i="5"/>
  <c r="D15" i="5" s="1"/>
  <c r="H14" i="5"/>
  <c r="G14" i="5"/>
  <c r="H13" i="5"/>
  <c r="G13" i="5"/>
  <c r="H12" i="5"/>
  <c r="G12" i="5"/>
  <c r="H11" i="5"/>
  <c r="G11" i="5"/>
  <c r="H10" i="5"/>
  <c r="G10" i="5"/>
  <c r="H9" i="5"/>
  <c r="G9" i="5"/>
  <c r="H7" i="5"/>
  <c r="G7" i="5"/>
  <c r="H6" i="5"/>
  <c r="G6" i="5"/>
  <c r="H5" i="5"/>
  <c r="G5" i="5"/>
  <c r="H4" i="5"/>
  <c r="G4" i="5"/>
  <c r="H3" i="5"/>
  <c r="G3" i="5"/>
  <c r="H2" i="5"/>
  <c r="G2" i="5"/>
  <c r="H8" i="5" l="1"/>
  <c r="H15" i="5" s="1"/>
  <c r="G8" i="5"/>
  <c r="G15" i="5" s="1"/>
</calcChain>
</file>

<file path=xl/sharedStrings.xml><?xml version="1.0" encoding="utf-8"?>
<sst xmlns="http://schemas.openxmlformats.org/spreadsheetml/2006/main" count="24" uniqueCount="24">
  <si>
    <t>S.N.</t>
  </si>
  <si>
    <t>-</t>
  </si>
  <si>
    <t>EQUIPMENT</t>
  </si>
  <si>
    <t>LOCATION</t>
  </si>
  <si>
    <t>SENSIBLE LOAD ACC. TO ASHRAE (W)</t>
  </si>
  <si>
    <t>LATENT LOAD ACC. TO ASHRAE (W)</t>
  </si>
  <si>
    <t>LOAD FACTOR</t>
  </si>
  <si>
    <t>ADJUSTED SENSIBLE LOAD (W)</t>
  </si>
  <si>
    <t>ADJUSTED LATENT LOAD (W)</t>
  </si>
  <si>
    <t>KITCHEN</t>
  </si>
  <si>
    <t>MICROWAVE</t>
  </si>
  <si>
    <t>TOTAL</t>
  </si>
  <si>
    <t>30x60 REFRIGERATOR</t>
  </si>
  <si>
    <t>ELECTRIC CONVEYOR OVEN</t>
  </si>
  <si>
    <t>COLD FOOD TABLE</t>
  </si>
  <si>
    <t>HOT FOOD TABLE</t>
  </si>
  <si>
    <t>HEATED SHELVES</t>
  </si>
  <si>
    <t>REACH-IN REFRIGERATOR</t>
  </si>
  <si>
    <t>DISHWASHER</t>
  </si>
  <si>
    <t>ICE MAKER</t>
  </si>
  <si>
    <t>UNDERCOUNTER REFRIGERATOR</t>
  </si>
  <si>
    <t>SANDWICH/SALAD PREP</t>
  </si>
  <si>
    <t>5 GAS FRYERS</t>
  </si>
  <si>
    <t>POS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</si>
</sst>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u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2" fontId="2" fillId="2" borderId="0" xfId="0" quotePrefix="1" applyNumberFormat="1" applyFont="1" applyFill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2" fontId="3" fillId="3" borderId="0" xfId="1" applyNumberFormat="1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D916-3057-4CFB-85B9-4B6CE04EE189}">
  <dimension ref="A1:H19"/>
  <sheetViews>
    <sheetView tabSelected="1" zoomScaleNormal="100" workbookViewId="0">
      <selection activeCell="D18" sqref="D18"/>
    </sheetView>
  </sheetViews>
  <sheetFormatPr defaultRowHeight="15" x14ac:dyDescent="0.25"/>
  <cols>
    <col min="1" max="1" width="6.28515625" customWidth="1"/>
    <col min="2" max="2" width="34.5703125" bestFit="1" customWidth="1"/>
    <col min="3" max="3" width="13.28515625" customWidth="1"/>
    <col min="4" max="4" width="26.5703125" bestFit="1" customWidth="1"/>
    <col min="5" max="5" width="24.42578125" bestFit="1" customWidth="1"/>
    <col min="6" max="6" width="9.5703125" bestFit="1" customWidth="1"/>
    <col min="7" max="7" width="21.140625" bestFit="1" customWidth="1"/>
    <col min="8" max="8" width="19.140625" bestFit="1" customWidth="1"/>
  </cols>
  <sheetData>
    <row r="1" spans="1:8" ht="28.5" x14ac:dyDescent="0.25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9" t="s">
        <v>7</v>
      </c>
      <c r="H1" s="9" t="s">
        <v>8</v>
      </c>
    </row>
    <row r="2" spans="1:8" ht="16.5" x14ac:dyDescent="0.25">
      <c r="A2" s="3">
        <v>1</v>
      </c>
      <c r="B2" s="3" t="s">
        <v>12</v>
      </c>
      <c r="C2" s="14" t="s">
        <v>9</v>
      </c>
      <c r="D2" s="3">
        <v>690</v>
      </c>
      <c r="E2" s="4">
        <v>0</v>
      </c>
      <c r="F2" s="8">
        <v>0.5</v>
      </c>
      <c r="G2" s="10">
        <f>D2*$F2</f>
        <v>345</v>
      </c>
      <c r="H2" s="10">
        <f>E2*$F2</f>
        <v>0</v>
      </c>
    </row>
    <row r="3" spans="1:8" ht="16.5" x14ac:dyDescent="0.25">
      <c r="A3" s="3">
        <v>2</v>
      </c>
      <c r="B3" s="3" t="s">
        <v>10</v>
      </c>
      <c r="C3" s="14"/>
      <c r="D3" s="3">
        <v>2630</v>
      </c>
      <c r="E3" s="4">
        <v>0</v>
      </c>
      <c r="F3" s="8">
        <v>0.5</v>
      </c>
      <c r="G3" s="10">
        <f t="shared" ref="G3:H14" si="0">D3*$F3</f>
        <v>1315</v>
      </c>
      <c r="H3" s="10">
        <f t="shared" si="0"/>
        <v>0</v>
      </c>
    </row>
    <row r="4" spans="1:8" ht="16.5" x14ac:dyDescent="0.25">
      <c r="A4" s="3">
        <v>3</v>
      </c>
      <c r="B4" s="3" t="s">
        <v>13</v>
      </c>
      <c r="C4" s="14"/>
      <c r="D4" s="3">
        <v>2110</v>
      </c>
      <c r="E4" s="4">
        <v>1090</v>
      </c>
      <c r="F4" s="8">
        <v>0.5</v>
      </c>
      <c r="G4" s="10">
        <f t="shared" si="0"/>
        <v>1055</v>
      </c>
      <c r="H4" s="10">
        <f t="shared" si="0"/>
        <v>545</v>
      </c>
    </row>
    <row r="5" spans="1:8" ht="16.5" x14ac:dyDescent="0.25">
      <c r="A5" s="3">
        <v>4</v>
      </c>
      <c r="B5" s="3" t="s">
        <v>14</v>
      </c>
      <c r="C5" s="14"/>
      <c r="D5" s="3">
        <v>640</v>
      </c>
      <c r="E5" s="4">
        <v>0</v>
      </c>
      <c r="F5" s="8">
        <v>0.5</v>
      </c>
      <c r="G5" s="10">
        <f t="shared" si="0"/>
        <v>320</v>
      </c>
      <c r="H5" s="10">
        <f>E5*$F5</f>
        <v>0</v>
      </c>
    </row>
    <row r="6" spans="1:8" ht="16.5" x14ac:dyDescent="0.25">
      <c r="A6" s="3">
        <v>5</v>
      </c>
      <c r="B6" s="3" t="s">
        <v>15</v>
      </c>
      <c r="C6" s="14"/>
      <c r="D6" s="3">
        <v>950</v>
      </c>
      <c r="E6" s="4">
        <v>0</v>
      </c>
      <c r="F6" s="8">
        <v>0.5</v>
      </c>
      <c r="G6" s="10">
        <f t="shared" si="0"/>
        <v>475</v>
      </c>
      <c r="H6" s="10">
        <f t="shared" si="0"/>
        <v>0</v>
      </c>
    </row>
    <row r="7" spans="1:8" ht="16.5" x14ac:dyDescent="0.25">
      <c r="A7" s="3">
        <v>6</v>
      </c>
      <c r="B7" s="3" t="s">
        <v>16</v>
      </c>
      <c r="C7" s="14"/>
      <c r="D7" s="3">
        <v>2330</v>
      </c>
      <c r="E7" s="4">
        <v>600</v>
      </c>
      <c r="F7" s="8">
        <v>0.5</v>
      </c>
      <c r="G7" s="10">
        <f t="shared" si="0"/>
        <v>1165</v>
      </c>
      <c r="H7" s="10">
        <f t="shared" si="0"/>
        <v>300</v>
      </c>
    </row>
    <row r="8" spans="1:8" ht="16.5" x14ac:dyDescent="0.25">
      <c r="A8" s="3">
        <v>7</v>
      </c>
      <c r="B8" s="3" t="s">
        <v>22</v>
      </c>
      <c r="C8" s="14"/>
      <c r="D8" s="3">
        <f>23500*5</f>
        <v>117500</v>
      </c>
      <c r="E8" s="4">
        <f>1640*5</f>
        <v>8200</v>
      </c>
      <c r="F8" s="8">
        <v>7.0000000000000007E-2</v>
      </c>
      <c r="G8" s="10">
        <f t="shared" si="0"/>
        <v>8225</v>
      </c>
      <c r="H8" s="10">
        <f t="shared" si="0"/>
        <v>574</v>
      </c>
    </row>
    <row r="9" spans="1:8" ht="16.5" x14ac:dyDescent="0.25">
      <c r="A9" s="3">
        <v>8</v>
      </c>
      <c r="B9" s="3" t="s">
        <v>17</v>
      </c>
      <c r="C9" s="14"/>
      <c r="D9" s="3">
        <v>690</v>
      </c>
      <c r="E9" s="4">
        <v>0</v>
      </c>
      <c r="F9" s="8">
        <v>0.5</v>
      </c>
      <c r="G9" s="10">
        <f t="shared" si="0"/>
        <v>345</v>
      </c>
      <c r="H9" s="10">
        <f t="shared" si="0"/>
        <v>0</v>
      </c>
    </row>
    <row r="10" spans="1:8" ht="16.5" x14ac:dyDescent="0.25">
      <c r="A10" s="3">
        <v>9</v>
      </c>
      <c r="B10" s="3" t="s">
        <v>18</v>
      </c>
      <c r="C10" s="14"/>
      <c r="D10" s="3">
        <v>56</v>
      </c>
      <c r="E10" s="4">
        <v>123</v>
      </c>
      <c r="F10" s="8">
        <v>0.5</v>
      </c>
      <c r="G10" s="10">
        <f t="shared" si="0"/>
        <v>28</v>
      </c>
      <c r="H10" s="10">
        <f t="shared" si="0"/>
        <v>61.5</v>
      </c>
    </row>
    <row r="11" spans="1:8" ht="16.5" x14ac:dyDescent="0.25">
      <c r="A11" s="3">
        <v>10</v>
      </c>
      <c r="B11" s="3" t="s">
        <v>19</v>
      </c>
      <c r="C11" s="14"/>
      <c r="D11" s="3">
        <v>1880</v>
      </c>
      <c r="E11" s="4">
        <v>0</v>
      </c>
      <c r="F11" s="8">
        <v>0.5</v>
      </c>
      <c r="G11" s="10">
        <f t="shared" si="0"/>
        <v>940</v>
      </c>
      <c r="H11" s="10">
        <f t="shared" si="0"/>
        <v>0</v>
      </c>
    </row>
    <row r="12" spans="1:8" ht="16.5" x14ac:dyDescent="0.25">
      <c r="A12" s="3">
        <v>11</v>
      </c>
      <c r="B12" s="3" t="s">
        <v>20</v>
      </c>
      <c r="C12" s="14"/>
      <c r="D12" s="3">
        <v>690</v>
      </c>
      <c r="E12" s="4">
        <v>0</v>
      </c>
      <c r="F12" s="8">
        <v>0.5</v>
      </c>
      <c r="G12" s="10">
        <f t="shared" si="0"/>
        <v>345</v>
      </c>
      <c r="H12" s="10">
        <f t="shared" si="0"/>
        <v>0</v>
      </c>
    </row>
    <row r="13" spans="1:8" ht="16.5" x14ac:dyDescent="0.25">
      <c r="A13" s="3">
        <v>12</v>
      </c>
      <c r="B13" s="3" t="s">
        <v>23</v>
      </c>
      <c r="C13" s="14"/>
      <c r="D13" s="3">
        <v>80</v>
      </c>
      <c r="E13" s="4">
        <v>0</v>
      </c>
      <c r="F13" s="8">
        <v>0.5</v>
      </c>
      <c r="G13" s="10">
        <f t="shared" si="0"/>
        <v>40</v>
      </c>
      <c r="H13" s="10">
        <f t="shared" si="0"/>
        <v>0</v>
      </c>
    </row>
    <row r="14" spans="1:8" ht="16.5" x14ac:dyDescent="0.25">
      <c r="A14" s="3">
        <v>13</v>
      </c>
      <c r="B14" s="3" t="s">
        <v>21</v>
      </c>
      <c r="C14" s="14"/>
      <c r="D14" s="3">
        <v>640</v>
      </c>
      <c r="E14" s="4">
        <v>0</v>
      </c>
      <c r="F14" s="8">
        <v>0.5</v>
      </c>
      <c r="G14" s="10">
        <f t="shared" si="0"/>
        <v>320</v>
      </c>
      <c r="H14" s="10">
        <f t="shared" si="0"/>
        <v>0</v>
      </c>
    </row>
    <row r="15" spans="1:8" x14ac:dyDescent="0.25">
      <c r="A15" s="5">
        <v>14</v>
      </c>
      <c r="B15" s="11" t="s">
        <v>11</v>
      </c>
      <c r="C15" s="11"/>
      <c r="D15" s="6">
        <f>SUM(D2:D14)</f>
        <v>130886</v>
      </c>
      <c r="E15" s="6">
        <f>SUM(E2:E14)</f>
        <v>10013</v>
      </c>
      <c r="F15" s="7" t="s">
        <v>1</v>
      </c>
      <c r="G15" s="6">
        <f>SUM(G2:G14)</f>
        <v>14918</v>
      </c>
      <c r="H15" s="6">
        <f>SUM(H2:H14)</f>
        <v>1480.5</v>
      </c>
    </row>
    <row r="18" spans="1:8" x14ac:dyDescent="0.25">
      <c r="A18" s="12"/>
      <c r="B18" s="12"/>
      <c r="C18" s="12"/>
      <c r="D18" s="12"/>
      <c r="E18" s="12"/>
      <c r="F18" s="12"/>
      <c r="G18" s="12"/>
      <c r="H18" s="12"/>
    </row>
    <row r="19" spans="1:8" ht="16.5" x14ac:dyDescent="0.25">
      <c r="A19" s="13"/>
      <c r="B19" s="13"/>
      <c r="C19" s="13"/>
      <c r="D19" s="13"/>
      <c r="E19" s="13"/>
      <c r="F19" s="13"/>
      <c r="G19" s="13"/>
      <c r="H19" s="13"/>
    </row>
  </sheetData>
  <mergeCells count="1">
    <mergeCell ref="C2:C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 EQUIPMENT 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Omar Shehab</dc:creator>
  <cp:lastModifiedBy>user</cp:lastModifiedBy>
  <dcterms:created xsi:type="dcterms:W3CDTF">2015-06-05T18:17:20Z</dcterms:created>
  <dcterms:modified xsi:type="dcterms:W3CDTF">2026-01-07T10:44:50Z</dcterms:modified>
</cp:coreProperties>
</file>