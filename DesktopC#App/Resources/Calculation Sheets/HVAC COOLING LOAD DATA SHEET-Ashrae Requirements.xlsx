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SETS-FS1\Projects\2023\SA2328_Neighborhoods_Parks_Madinah\ME\WIP\CEMETARY\ME\WORKING FILE\05-Calculations\HVAC\"/>
    </mc:Choice>
  </mc:AlternateContent>
  <xr:revisionPtr revIDLastSave="0" documentId="13_ncr:1_{C5901684-E9EE-4EA5-8D72-A62B3E644291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SB" sheetId="5" r:id="rId1"/>
    <sheet name="MB" sheetId="1" r:id="rId2"/>
    <sheet name="Data" sheetId="4" r:id="rId3"/>
    <sheet name="Sheet2" sheetId="7" r:id="rId4"/>
  </sheets>
  <externalReferences>
    <externalReference r:id="rId5"/>
  </externalReferences>
  <definedNames>
    <definedName name="_xlnm._FilterDatabase" localSheetId="1" hidden="1">MB!$A$4:$CJ$117</definedName>
    <definedName name="_xlnm._FilterDatabase" localSheetId="0" hidden="1">SB!$A$3:$AQ$15</definedName>
    <definedName name="_xlnm.Print_Titles" localSheetId="1">MB!$1:$4</definedName>
    <definedName name="_xlnm.Print_Titles" localSheetId="0">SB!$1:$3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17" i="1" l="1"/>
  <c r="AT15" i="1"/>
  <c r="BB12" i="1"/>
  <c r="BB13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8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2" i="1"/>
  <c r="BB87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3" i="1"/>
  <c r="BB104" i="1"/>
  <c r="BB105" i="1"/>
  <c r="BB106" i="1"/>
  <c r="BB107" i="1"/>
  <c r="BB110" i="1"/>
  <c r="BB111" i="1"/>
  <c r="BB112" i="1"/>
  <c r="BB113" i="1"/>
  <c r="BB114" i="1"/>
  <c r="BB115" i="1"/>
  <c r="BB11" i="1"/>
  <c r="BB5" i="1"/>
  <c r="AS36" i="1"/>
  <c r="AS44" i="1"/>
  <c r="AQ110" i="1"/>
  <c r="AQ111" i="1"/>
  <c r="AQ112" i="1"/>
  <c r="AQ113" i="1"/>
  <c r="AQ114" i="1"/>
  <c r="AS114" i="1" s="1"/>
  <c r="AT114" i="1" s="1"/>
  <c r="AQ115" i="1"/>
  <c r="AS115" i="1" s="1"/>
  <c r="AT115" i="1" s="1"/>
  <c r="AQ5" i="1"/>
  <c r="AQ6" i="1"/>
  <c r="BB6" i="1" s="1"/>
  <c r="AQ7" i="1"/>
  <c r="BB7" i="1" s="1"/>
  <c r="AQ8" i="1"/>
  <c r="AQ9" i="1"/>
  <c r="AQ10" i="1"/>
  <c r="AQ11" i="1"/>
  <c r="AQ12" i="1"/>
  <c r="AQ13" i="1"/>
  <c r="AS13" i="1" s="1"/>
  <c r="AQ14" i="1"/>
  <c r="AQ15" i="1"/>
  <c r="AS15" i="1" s="1"/>
  <c r="AQ16" i="1"/>
  <c r="AQ17" i="1"/>
  <c r="AS17" i="1" s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S29" i="1" s="1"/>
  <c r="AT29" i="1" s="1"/>
  <c r="AQ30" i="1"/>
  <c r="AQ31" i="1"/>
  <c r="AQ32" i="1"/>
  <c r="AQ33" i="1"/>
  <c r="AQ34" i="1"/>
  <c r="AQ35" i="1"/>
  <c r="AQ36" i="1"/>
  <c r="AQ37" i="1"/>
  <c r="AR37" i="1" s="1"/>
  <c r="AQ38" i="1"/>
  <c r="AQ39" i="1"/>
  <c r="AR39" i="1" s="1"/>
  <c r="AQ40" i="1"/>
  <c r="AQ41" i="1"/>
  <c r="AQ42" i="1"/>
  <c r="AQ43" i="1"/>
  <c r="AQ44" i="1"/>
  <c r="AQ45" i="1"/>
  <c r="AQ46" i="1"/>
  <c r="AQ47" i="1"/>
  <c r="AQ48" i="1"/>
  <c r="AQ49" i="1"/>
  <c r="AS49" i="1" s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S65" i="1" s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R83" i="1" s="1"/>
  <c r="BB83" i="1" s="1"/>
  <c r="AQ84" i="1"/>
  <c r="AR84" i="1" s="1"/>
  <c r="BB84" i="1" s="1"/>
  <c r="AQ85" i="1"/>
  <c r="AR85" i="1" s="1"/>
  <c r="BB85" i="1" s="1"/>
  <c r="AQ86" i="1"/>
  <c r="AQ87" i="1"/>
  <c r="AS87" i="1" s="1"/>
  <c r="AQ88" i="1"/>
  <c r="AR88" i="1" s="1"/>
  <c r="BB88" i="1" s="1"/>
  <c r="AQ89" i="1"/>
  <c r="AQ90" i="1"/>
  <c r="AQ91" i="1"/>
  <c r="AQ92" i="1"/>
  <c r="AS92" i="1" s="1"/>
  <c r="AT92" i="1" s="1"/>
  <c r="AQ93" i="1"/>
  <c r="AQ94" i="1"/>
  <c r="AQ95" i="1"/>
  <c r="AQ96" i="1"/>
  <c r="AQ97" i="1"/>
  <c r="AQ98" i="1"/>
  <c r="AQ99" i="1"/>
  <c r="AQ100" i="1"/>
  <c r="AQ101" i="1"/>
  <c r="AR101" i="1" s="1"/>
  <c r="BB101" i="1" s="1"/>
  <c r="AQ102" i="1"/>
  <c r="AQ103" i="1"/>
  <c r="AQ104" i="1"/>
  <c r="AQ105" i="1"/>
  <c r="AQ106" i="1"/>
  <c r="AQ107" i="1"/>
  <c r="AQ108" i="1"/>
  <c r="AQ109" i="1"/>
  <c r="AR109" i="1" l="1"/>
  <c r="BB109" i="1" s="1"/>
  <c r="AR108" i="1"/>
  <c r="BB108" i="1" s="1"/>
  <c r="AR86" i="1"/>
  <c r="BB86" i="1" s="1"/>
  <c r="AR102" i="1"/>
  <c r="BB102" i="1" s="1"/>
  <c r="AR81" i="1"/>
  <c r="BB81" i="1" s="1"/>
  <c r="AS45" i="1"/>
  <c r="AS41" i="1"/>
  <c r="AT41" i="1" s="1"/>
  <c r="AS93" i="1"/>
  <c r="AT93" i="1" s="1"/>
  <c r="AS105" i="1"/>
  <c r="AT105" i="1" s="1"/>
  <c r="AS33" i="1"/>
  <c r="AT33" i="1" s="1"/>
  <c r="AS101" i="1"/>
  <c r="AS100" i="1"/>
  <c r="AS60" i="1"/>
  <c r="AT60" i="1" s="1"/>
  <c r="AS77" i="1"/>
  <c r="AT77" i="1" s="1"/>
  <c r="AS112" i="1"/>
  <c r="AT112" i="1" s="1"/>
  <c r="AS61" i="1"/>
  <c r="AT61" i="1" s="1"/>
  <c r="AS21" i="1"/>
  <c r="AT21" i="1" s="1"/>
  <c r="AS20" i="1"/>
  <c r="AT20" i="1" s="1"/>
  <c r="AS73" i="1"/>
  <c r="AS69" i="1"/>
  <c r="AS9" i="1"/>
  <c r="AT9" i="1" s="1"/>
  <c r="AS68" i="1"/>
  <c r="AS25" i="1"/>
  <c r="AS5" i="1"/>
  <c r="AT5" i="1" s="1"/>
  <c r="AS113" i="1"/>
  <c r="AT113" i="1" s="1"/>
  <c r="AS53" i="1"/>
  <c r="AS57" i="1"/>
  <c r="AT57" i="1" s="1"/>
  <c r="AS37" i="1"/>
  <c r="AS106" i="1"/>
  <c r="AT106" i="1" s="1"/>
  <c r="AS26" i="1"/>
  <c r="AT26" i="1" s="1"/>
  <c r="AS18" i="1"/>
  <c r="AS104" i="1"/>
  <c r="AT104" i="1" s="1"/>
  <c r="AS96" i="1"/>
  <c r="AT96" i="1" s="1"/>
  <c r="AS80" i="1"/>
  <c r="AT80" i="1" s="1"/>
  <c r="AS64" i="1"/>
  <c r="AS48" i="1"/>
  <c r="AT48" i="1" s="1"/>
  <c r="AS32" i="1"/>
  <c r="AS24" i="1"/>
  <c r="AS16" i="1"/>
  <c r="AS8" i="1"/>
  <c r="AT8" i="1" s="1"/>
  <c r="AS95" i="1"/>
  <c r="AT95" i="1" s="1"/>
  <c r="AS94" i="1"/>
  <c r="AT94" i="1" s="1"/>
  <c r="AS98" i="1"/>
  <c r="AS90" i="1"/>
  <c r="AT90" i="1" s="1"/>
  <c r="AS82" i="1"/>
  <c r="AS74" i="1"/>
  <c r="AS66" i="1"/>
  <c r="AS58" i="1"/>
  <c r="AT58" i="1" s="1"/>
  <c r="AS50" i="1"/>
  <c r="AS42" i="1"/>
  <c r="AT42" i="1" s="1"/>
  <c r="AS34" i="1"/>
  <c r="AS10" i="1"/>
  <c r="AT10" i="1" s="1"/>
  <c r="AS72" i="1"/>
  <c r="AS56" i="1"/>
  <c r="AT56" i="1" s="1"/>
  <c r="AS40" i="1"/>
  <c r="AS107" i="1"/>
  <c r="AT107" i="1" s="1"/>
  <c r="AS99" i="1"/>
  <c r="AS91" i="1"/>
  <c r="AT91" i="1" s="1"/>
  <c r="AS75" i="1"/>
  <c r="AS67" i="1"/>
  <c r="AS59" i="1"/>
  <c r="AT59" i="1" s="1"/>
  <c r="AS51" i="1"/>
  <c r="AS43" i="1"/>
  <c r="AS35" i="1"/>
  <c r="AS27" i="1"/>
  <c r="AT27" i="1" s="1"/>
  <c r="AS19" i="1"/>
  <c r="AS11" i="1"/>
  <c r="AS89" i="1"/>
  <c r="AS97" i="1"/>
  <c r="AT97" i="1" s="1"/>
  <c r="AS83" i="1"/>
  <c r="AS28" i="1"/>
  <c r="AS52" i="1"/>
  <c r="AS76" i="1"/>
  <c r="AS12" i="1"/>
  <c r="AS79" i="1"/>
  <c r="AT79" i="1" s="1"/>
  <c r="AS63" i="1"/>
  <c r="AS31" i="1"/>
  <c r="AT31" i="1" s="1"/>
  <c r="AS78" i="1"/>
  <c r="AT78" i="1" s="1"/>
  <c r="AS70" i="1"/>
  <c r="AS62" i="1"/>
  <c r="AS54" i="1"/>
  <c r="AT54" i="1" s="1"/>
  <c r="AS46" i="1"/>
  <c r="AS38" i="1"/>
  <c r="AS30" i="1"/>
  <c r="AS22" i="1"/>
  <c r="AS14" i="1"/>
  <c r="AT14" i="1" s="1"/>
  <c r="AS6" i="1"/>
  <c r="AT6" i="1" s="1"/>
  <c r="AS71" i="1"/>
  <c r="AS39" i="1"/>
  <c r="AS23" i="1"/>
  <c r="AS47" i="1"/>
  <c r="AT47" i="1" s="1"/>
  <c r="AS55" i="1"/>
  <c r="AT55" i="1" s="1"/>
  <c r="AS7" i="1"/>
  <c r="AT7" i="1" s="1"/>
  <c r="AS111" i="1"/>
  <c r="AS110" i="1"/>
  <c r="AS88" i="1"/>
  <c r="AS103" i="1"/>
  <c r="AS84" i="1"/>
  <c r="AS85" i="1"/>
  <c r="AS86" i="1" l="1"/>
  <c r="AT86" i="1" s="1"/>
  <c r="AS81" i="1"/>
  <c r="AS102" i="1"/>
  <c r="AS108" i="1"/>
  <c r="AS109" i="1"/>
  <c r="AD7" i="1"/>
  <c r="AD8" i="1"/>
  <c r="AD9" i="1"/>
  <c r="AD10" i="1"/>
  <c r="AD15" i="1"/>
  <c r="AD20" i="1"/>
  <c r="AD21" i="1"/>
  <c r="AD26" i="1"/>
  <c r="AD29" i="1"/>
  <c r="AD31" i="1"/>
  <c r="AD33" i="1"/>
  <c r="AD47" i="1"/>
  <c r="AD48" i="1"/>
  <c r="AD54" i="1"/>
  <c r="AD56" i="1"/>
  <c r="AD57" i="1"/>
  <c r="AD58" i="1"/>
  <c r="AD59" i="1"/>
  <c r="AD60" i="1"/>
  <c r="AD61" i="1"/>
  <c r="AD77" i="1"/>
  <c r="AD79" i="1"/>
  <c r="AD80" i="1"/>
  <c r="AD86" i="1"/>
  <c r="AD91" i="1"/>
  <c r="AD92" i="1"/>
  <c r="AD93" i="1"/>
  <c r="AD94" i="1"/>
  <c r="AD96" i="1"/>
  <c r="AD97" i="1"/>
  <c r="AD104" i="1"/>
  <c r="AD105" i="1"/>
  <c r="AD106" i="1"/>
  <c r="AD107" i="1"/>
  <c r="AD112" i="1"/>
  <c r="AD113" i="1"/>
  <c r="AD115" i="1"/>
  <c r="AD5" i="1"/>
  <c r="W122" i="1"/>
  <c r="AE7" i="1"/>
  <c r="AF7" i="1" s="1"/>
  <c r="AE26" i="1"/>
  <c r="AF26" i="1" s="1"/>
  <c r="AE104" i="1"/>
  <c r="AF104" i="1" s="1"/>
  <c r="AE105" i="1"/>
  <c r="AF105" i="1" s="1"/>
  <c r="AE106" i="1"/>
  <c r="AF106" i="1" s="1"/>
  <c r="AE116" i="1"/>
  <c r="AF116" i="1" s="1"/>
  <c r="AE117" i="1"/>
  <c r="AF117" i="1" s="1"/>
  <c r="AE5" i="1"/>
  <c r="AF5" i="1" s="1"/>
  <c r="AE20" i="1"/>
  <c r="Z6" i="1"/>
  <c r="AA6" i="1" s="1"/>
  <c r="AB6" i="1" s="1"/>
  <c r="Z14" i="1"/>
  <c r="AD14" i="1" s="1"/>
  <c r="Z20" i="1"/>
  <c r="Z26" i="1"/>
  <c r="Z29" i="1"/>
  <c r="Z31" i="1"/>
  <c r="Z33" i="1"/>
  <c r="Z34" i="1"/>
  <c r="AA34" i="1" s="1"/>
  <c r="AB34" i="1" s="1"/>
  <c r="Z41" i="1"/>
  <c r="AA41" i="1" s="1"/>
  <c r="AB41" i="1" s="1"/>
  <c r="AD41" i="1" s="1"/>
  <c r="Z48" i="1"/>
  <c r="Z55" i="1"/>
  <c r="AA55" i="1" s="1"/>
  <c r="AB55" i="1" s="1"/>
  <c r="AD55" i="1" s="1"/>
  <c r="Z56" i="1"/>
  <c r="Z59" i="1"/>
  <c r="Z60" i="1"/>
  <c r="Z61" i="1"/>
  <c r="Z80" i="1"/>
  <c r="AA80" i="1" s="1"/>
  <c r="Z81" i="1"/>
  <c r="AA81" i="1" s="1"/>
  <c r="AB81" i="1" s="1"/>
  <c r="Z86" i="1"/>
  <c r="Z88" i="1"/>
  <c r="AA88" i="1" s="1"/>
  <c r="AB88" i="1" s="1"/>
  <c r="Z90" i="1"/>
  <c r="AA90" i="1" s="1"/>
  <c r="AB90" i="1" s="1"/>
  <c r="AD90" i="1" s="1"/>
  <c r="Z91" i="1"/>
  <c r="Z94" i="1"/>
  <c r="Z95" i="1"/>
  <c r="AA95" i="1" s="1"/>
  <c r="AB95" i="1" s="1"/>
  <c r="AD95" i="1" s="1"/>
  <c r="Z104" i="1"/>
  <c r="Z105" i="1"/>
  <c r="Z106" i="1"/>
  <c r="Z107" i="1"/>
  <c r="AA27" i="1"/>
  <c r="AB27" i="1" s="1"/>
  <c r="AD27" i="1" s="1"/>
  <c r="AA114" i="1"/>
  <c r="AB114" i="1" s="1"/>
  <c r="AD114" i="1" s="1"/>
  <c r="Y77" i="1"/>
  <c r="K77" i="1"/>
  <c r="G77" i="1"/>
  <c r="AE77" i="1" s="1"/>
  <c r="AE6" i="1" l="1"/>
  <c r="AF6" i="1" s="1"/>
  <c r="AD6" i="1"/>
  <c r="AF20" i="1"/>
  <c r="AF77" i="1"/>
  <c r="H77" i="1"/>
  <c r="AZ77" i="1" s="1"/>
  <c r="AL77" i="1"/>
  <c r="AM77" i="1" s="1"/>
  <c r="U77" i="1"/>
  <c r="AY77" i="1" l="1"/>
  <c r="X92" i="1"/>
  <c r="X78" i="1"/>
  <c r="AD5" i="5"/>
  <c r="AE5" i="5" s="1"/>
  <c r="AF5" i="5" s="1"/>
  <c r="AD6" i="5"/>
  <c r="AD7" i="5"/>
  <c r="AD8" i="5"/>
  <c r="AD9" i="5"/>
  <c r="AD10" i="5"/>
  <c r="AE10" i="5" s="1"/>
  <c r="AF10" i="5" s="1"/>
  <c r="AD11" i="5"/>
  <c r="AE11" i="5" s="1"/>
  <c r="AF11" i="5" s="1"/>
  <c r="AD12" i="5"/>
  <c r="AD13" i="5"/>
  <c r="AE13" i="5" s="1"/>
  <c r="AF13" i="5" s="1"/>
  <c r="AD4" i="5"/>
  <c r="AE4" i="5" s="1"/>
  <c r="AF4" i="5" s="1"/>
  <c r="X9" i="5"/>
  <c r="Y9" i="5" s="1"/>
  <c r="T5" i="5"/>
  <c r="U5" i="5" s="1"/>
  <c r="T4" i="5"/>
  <c r="X4" i="5" s="1"/>
  <c r="Y4" i="5" s="1"/>
  <c r="R5" i="5"/>
  <c r="R6" i="5"/>
  <c r="R7" i="5"/>
  <c r="R8" i="5"/>
  <c r="R9" i="5"/>
  <c r="R10" i="5"/>
  <c r="R11" i="5"/>
  <c r="R12" i="5"/>
  <c r="R13" i="5"/>
  <c r="R4" i="5"/>
  <c r="Q5" i="5"/>
  <c r="Q6" i="5"/>
  <c r="Q7" i="5"/>
  <c r="Q8" i="5"/>
  <c r="Q9" i="5"/>
  <c r="Q10" i="5"/>
  <c r="Q11" i="5"/>
  <c r="Q12" i="5"/>
  <c r="Q13" i="5"/>
  <c r="Q4" i="5"/>
  <c r="X57" i="1"/>
  <c r="G27" i="1"/>
  <c r="X42" i="1"/>
  <c r="X35" i="1"/>
  <c r="G14" i="5"/>
  <c r="AI14" i="5"/>
  <c r="AH14" i="5"/>
  <c r="AG14" i="5"/>
  <c r="AB13" i="5"/>
  <c r="AC13" i="5" s="1"/>
  <c r="N13" i="5"/>
  <c r="J13" i="5"/>
  <c r="G13" i="5"/>
  <c r="AO13" i="5" s="1"/>
  <c r="N12" i="5"/>
  <c r="F12" i="5"/>
  <c r="G12" i="5" s="1"/>
  <c r="AB11" i="5"/>
  <c r="AC11" i="5" s="1"/>
  <c r="N11" i="5"/>
  <c r="J11" i="5"/>
  <c r="G11" i="5"/>
  <c r="AN11" i="5" s="1"/>
  <c r="AB10" i="5"/>
  <c r="AC10" i="5" s="1"/>
  <c r="N10" i="5"/>
  <c r="K14" i="5" s="1"/>
  <c r="J10" i="5"/>
  <c r="H14" i="5" s="1"/>
  <c r="G10" i="5"/>
  <c r="AO10" i="5" s="1"/>
  <c r="N9" i="5"/>
  <c r="J9" i="5"/>
  <c r="F9" i="5"/>
  <c r="AB9" i="5" s="1"/>
  <c r="AC9" i="5" s="1"/>
  <c r="N8" i="5"/>
  <c r="J8" i="5"/>
  <c r="F8" i="5"/>
  <c r="AB8" i="5" s="1"/>
  <c r="AC8" i="5" s="1"/>
  <c r="N7" i="5"/>
  <c r="J7" i="5"/>
  <c r="F7" i="5"/>
  <c r="AB7" i="5" s="1"/>
  <c r="AC7" i="5" s="1"/>
  <c r="N6" i="5"/>
  <c r="J6" i="5"/>
  <c r="F6" i="5"/>
  <c r="G6" i="5" s="1"/>
  <c r="AB5" i="5"/>
  <c r="AC5" i="5" s="1"/>
  <c r="N5" i="5"/>
  <c r="J5" i="5"/>
  <c r="G5" i="5"/>
  <c r="AO5" i="5" s="1"/>
  <c r="AB4" i="5"/>
  <c r="AC4" i="5" s="1"/>
  <c r="J4" i="5"/>
  <c r="G4" i="5"/>
  <c r="AO4" i="5" s="1"/>
  <c r="X5" i="5" l="1"/>
  <c r="Y5" i="5" s="1"/>
  <c r="T9" i="5"/>
  <c r="AE27" i="1"/>
  <c r="AF27" i="1" s="1"/>
  <c r="Z78" i="1"/>
  <c r="AA78" i="1" s="1"/>
  <c r="AB78" i="1" s="1"/>
  <c r="U41" i="1"/>
  <c r="U55" i="1"/>
  <c r="T6" i="5"/>
  <c r="X6" i="5" s="1"/>
  <c r="Y6" i="5" s="1"/>
  <c r="T10" i="5"/>
  <c r="U4" i="5"/>
  <c r="AB6" i="5"/>
  <c r="AC6" i="5" s="1"/>
  <c r="AE6" i="5"/>
  <c r="AF6" i="5" s="1"/>
  <c r="AE9" i="5"/>
  <c r="AF9" i="5" s="1"/>
  <c r="U90" i="1"/>
  <c r="U80" i="1"/>
  <c r="U95" i="1"/>
  <c r="AO11" i="5"/>
  <c r="AB12" i="5"/>
  <c r="AC12" i="5" s="1"/>
  <c r="T12" i="5"/>
  <c r="X12" i="5" s="1"/>
  <c r="Y12" i="5" s="1"/>
  <c r="AE12" i="5"/>
  <c r="AF12" i="5" s="1"/>
  <c r="AN10" i="5"/>
  <c r="AE8" i="5"/>
  <c r="AF8" i="5" s="1"/>
  <c r="T7" i="5"/>
  <c r="X7" i="5" s="1"/>
  <c r="AN5" i="5"/>
  <c r="T11" i="5"/>
  <c r="X11" i="5" s="1"/>
  <c r="Y11" i="5" s="1"/>
  <c r="AN13" i="5"/>
  <c r="AE7" i="5"/>
  <c r="AF7" i="5" s="1"/>
  <c r="AN4" i="5"/>
  <c r="T8" i="5"/>
  <c r="X8" i="5" s="1"/>
  <c r="Y8" i="5" s="1"/>
  <c r="T13" i="5"/>
  <c r="X13" i="5" s="1"/>
  <c r="Y13" i="5" s="1"/>
  <c r="AO12" i="5"/>
  <c r="AN12" i="5"/>
  <c r="AO6" i="5"/>
  <c r="AN6" i="5"/>
  <c r="G9" i="5"/>
  <c r="Q14" i="5"/>
  <c r="G8" i="5"/>
  <c r="G7" i="5"/>
  <c r="AE78" i="1" l="1"/>
  <c r="AD78" i="1"/>
  <c r="U10" i="5"/>
  <c r="X10" i="5"/>
  <c r="Y10" i="5" s="1"/>
  <c r="Z14" i="5"/>
  <c r="U12" i="5"/>
  <c r="U6" i="5"/>
  <c r="AD14" i="5"/>
  <c r="U8" i="5"/>
  <c r="U13" i="5"/>
  <c r="U11" i="5"/>
  <c r="U9" i="5"/>
  <c r="U7" i="5"/>
  <c r="AO8" i="5"/>
  <c r="AN8" i="5"/>
  <c r="AO7" i="5"/>
  <c r="AN7" i="5"/>
  <c r="AO9" i="5"/>
  <c r="AN9" i="5"/>
  <c r="AO14" i="5" l="1"/>
  <c r="AN14" i="5"/>
  <c r="I37" i="1" l="1"/>
  <c r="AN116" i="1" l="1"/>
  <c r="AO116" i="1"/>
  <c r="AS116" i="1"/>
  <c r="AT116" i="1" s="1"/>
  <c r="G22" i="1"/>
  <c r="H76" i="1"/>
  <c r="AZ76" i="1" s="1"/>
  <c r="AK76" i="1"/>
  <c r="AL76" i="1" s="1"/>
  <c r="AM76" i="1" s="1"/>
  <c r="S76" i="1"/>
  <c r="R76" i="1"/>
  <c r="O76" i="1"/>
  <c r="N76" i="1"/>
  <c r="U76" i="1" l="1"/>
  <c r="V76" i="1" s="1"/>
  <c r="AY76" i="1"/>
  <c r="K29" i="1"/>
  <c r="K30" i="1"/>
  <c r="K31" i="1"/>
  <c r="K32" i="1"/>
  <c r="K33" i="1"/>
  <c r="K34" i="1"/>
  <c r="K35" i="1"/>
  <c r="K36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27" i="1"/>
  <c r="K20" i="1"/>
  <c r="K21" i="1"/>
  <c r="K22" i="1"/>
  <c r="K23" i="1"/>
  <c r="K24" i="1"/>
  <c r="K25" i="1"/>
  <c r="K26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H103" i="1"/>
  <c r="AZ103" i="1" s="1"/>
  <c r="H104" i="1"/>
  <c r="AZ104" i="1" s="1"/>
  <c r="H105" i="1"/>
  <c r="AZ105" i="1" s="1"/>
  <c r="H106" i="1"/>
  <c r="AZ106" i="1" s="1"/>
  <c r="H37" i="1"/>
  <c r="AZ37" i="1" s="1"/>
  <c r="H20" i="1"/>
  <c r="AZ20" i="1" s="1"/>
  <c r="H26" i="1"/>
  <c r="AZ26" i="1" s="1"/>
  <c r="H27" i="1"/>
  <c r="AZ27" i="1" s="1"/>
  <c r="G107" i="1"/>
  <c r="G39" i="1"/>
  <c r="G48" i="1"/>
  <c r="AK75" i="1"/>
  <c r="AL75" i="1" s="1"/>
  <c r="AM75" i="1" s="1"/>
  <c r="R75" i="1"/>
  <c r="O75" i="1"/>
  <c r="N75" i="1"/>
  <c r="H75" i="1"/>
  <c r="AZ75" i="1" s="1"/>
  <c r="AK73" i="1"/>
  <c r="AL73" i="1" s="1"/>
  <c r="AM73" i="1" s="1"/>
  <c r="R73" i="1"/>
  <c r="O73" i="1"/>
  <c r="N73" i="1"/>
  <c r="H73" i="1"/>
  <c r="AZ73" i="1" s="1"/>
  <c r="AK74" i="1"/>
  <c r="AL74" i="1" s="1"/>
  <c r="AM74" i="1" s="1"/>
  <c r="R74" i="1"/>
  <c r="O74" i="1"/>
  <c r="N74" i="1"/>
  <c r="H74" i="1"/>
  <c r="AZ74" i="1" s="1"/>
  <c r="AD76" i="1" l="1"/>
  <c r="AT76" i="1"/>
  <c r="AE107" i="1"/>
  <c r="AF107" i="1" s="1"/>
  <c r="AE48" i="1"/>
  <c r="AF48" i="1" s="1"/>
  <c r="Z76" i="1"/>
  <c r="AA76" i="1" s="1"/>
  <c r="AE76" i="1" s="1"/>
  <c r="AF78" i="1"/>
  <c r="U74" i="1"/>
  <c r="V74" i="1" s="1"/>
  <c r="U75" i="1"/>
  <c r="V75" i="1" s="1"/>
  <c r="U73" i="1"/>
  <c r="V73" i="1" s="1"/>
  <c r="H107" i="1"/>
  <c r="H48" i="1"/>
  <c r="AZ48" i="1" s="1"/>
  <c r="H39" i="1"/>
  <c r="AZ39" i="1" s="1"/>
  <c r="AY75" i="1"/>
  <c r="AY73" i="1"/>
  <c r="AY74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AK72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L98" i="1" s="1"/>
  <c r="AM98" i="1" s="1"/>
  <c r="AK99" i="1"/>
  <c r="AL99" i="1" s="1"/>
  <c r="AM99" i="1" s="1"/>
  <c r="AK100" i="1"/>
  <c r="AL100" i="1" s="1"/>
  <c r="AM100" i="1" s="1"/>
  <c r="AK101" i="1"/>
  <c r="AL101" i="1" s="1"/>
  <c r="AM101" i="1" s="1"/>
  <c r="AK102" i="1"/>
  <c r="AK103" i="1"/>
  <c r="AL103" i="1" s="1"/>
  <c r="AM103" i="1" s="1"/>
  <c r="AK104" i="1"/>
  <c r="AL104" i="1" s="1"/>
  <c r="AM104" i="1" s="1"/>
  <c r="AK105" i="1"/>
  <c r="AL105" i="1" s="1"/>
  <c r="AM105" i="1" s="1"/>
  <c r="AK106" i="1"/>
  <c r="AL106" i="1" s="1"/>
  <c r="AM106" i="1" s="1"/>
  <c r="AK107" i="1"/>
  <c r="AL107" i="1" s="1"/>
  <c r="AM107" i="1" s="1"/>
  <c r="AK108" i="1"/>
  <c r="AK109" i="1"/>
  <c r="AL109" i="1" s="1"/>
  <c r="AM109" i="1" s="1"/>
  <c r="AK110" i="1"/>
  <c r="AL110" i="1" s="1"/>
  <c r="AM110" i="1" s="1"/>
  <c r="AK111" i="1"/>
  <c r="AL111" i="1" s="1"/>
  <c r="AM111" i="1" s="1"/>
  <c r="AK112" i="1"/>
  <c r="AK113" i="1"/>
  <c r="AK114" i="1"/>
  <c r="AK115" i="1"/>
  <c r="N5" i="1"/>
  <c r="H98" i="1"/>
  <c r="H99" i="1"/>
  <c r="AZ99" i="1" s="1"/>
  <c r="H100" i="1"/>
  <c r="AZ100" i="1" s="1"/>
  <c r="H101" i="1"/>
  <c r="H109" i="1"/>
  <c r="H110" i="1"/>
  <c r="H111" i="1"/>
  <c r="AY104" i="1"/>
  <c r="G115" i="1"/>
  <c r="G114" i="1"/>
  <c r="G113" i="1"/>
  <c r="G112" i="1"/>
  <c r="G108" i="1"/>
  <c r="O5" i="1"/>
  <c r="G102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Z79" i="1" s="1"/>
  <c r="AA79" i="1" s="1"/>
  <c r="R107" i="1"/>
  <c r="U107" i="1" s="1"/>
  <c r="AY105" i="1"/>
  <c r="R105" i="1"/>
  <c r="U105" i="1" s="1"/>
  <c r="AY106" i="1"/>
  <c r="R106" i="1"/>
  <c r="U106" i="1" s="1"/>
  <c r="R104" i="1"/>
  <c r="U104" i="1" s="1"/>
  <c r="R115" i="1"/>
  <c r="R114" i="1"/>
  <c r="O114" i="1"/>
  <c r="R113" i="1"/>
  <c r="R112" i="1"/>
  <c r="O112" i="1"/>
  <c r="R111" i="1"/>
  <c r="U111" i="1" s="1"/>
  <c r="V111" i="1" s="1"/>
  <c r="R110" i="1"/>
  <c r="U110" i="1" s="1"/>
  <c r="V110" i="1" s="1"/>
  <c r="O110" i="1"/>
  <c r="R109" i="1"/>
  <c r="U109" i="1" s="1"/>
  <c r="V109" i="1" s="1"/>
  <c r="R108" i="1"/>
  <c r="O108" i="1"/>
  <c r="R103" i="1"/>
  <c r="U103" i="1" s="1"/>
  <c r="V103" i="1" s="1"/>
  <c r="R102" i="1"/>
  <c r="O102" i="1"/>
  <c r="R101" i="1"/>
  <c r="U101" i="1" s="1"/>
  <c r="V101" i="1" s="1"/>
  <c r="R100" i="1"/>
  <c r="U100" i="1" s="1"/>
  <c r="V100" i="1" s="1"/>
  <c r="O100" i="1"/>
  <c r="R99" i="1"/>
  <c r="U99" i="1" s="1"/>
  <c r="V99" i="1" s="1"/>
  <c r="R98" i="1"/>
  <c r="U98" i="1" s="1"/>
  <c r="V98" i="1" s="1"/>
  <c r="O98" i="1"/>
  <c r="AD103" i="1" l="1"/>
  <c r="AT103" i="1"/>
  <c r="AD73" i="1"/>
  <c r="AT73" i="1"/>
  <c r="AD75" i="1"/>
  <c r="AT75" i="1"/>
  <c r="AD98" i="1"/>
  <c r="AT98" i="1"/>
  <c r="AD74" i="1"/>
  <c r="AT74" i="1"/>
  <c r="AD111" i="1"/>
  <c r="AT111" i="1"/>
  <c r="AD109" i="1"/>
  <c r="AT109" i="1"/>
  <c r="AD110" i="1"/>
  <c r="AT110" i="1"/>
  <c r="AD99" i="1"/>
  <c r="AT99" i="1"/>
  <c r="AD101" i="1"/>
  <c r="AT101" i="1"/>
  <c r="AD100" i="1"/>
  <c r="AT100" i="1"/>
  <c r="AY109" i="1"/>
  <c r="AZ109" i="1"/>
  <c r="AY111" i="1"/>
  <c r="AZ111" i="1"/>
  <c r="AY110" i="1"/>
  <c r="AZ110" i="1"/>
  <c r="AY101" i="1"/>
  <c r="AZ101" i="1"/>
  <c r="AY107" i="1"/>
  <c r="AZ107" i="1"/>
  <c r="AY98" i="1"/>
  <c r="AZ98" i="1"/>
  <c r="AE92" i="1"/>
  <c r="AF92" i="1" s="1"/>
  <c r="AE86" i="1"/>
  <c r="AF86" i="1" s="1"/>
  <c r="AE90" i="1"/>
  <c r="AF90" i="1" s="1"/>
  <c r="AE93" i="1"/>
  <c r="AF93" i="1" s="1"/>
  <c r="AE94" i="1"/>
  <c r="AF94" i="1" s="1"/>
  <c r="AE80" i="1"/>
  <c r="AF80" i="1" s="1"/>
  <c r="AE91" i="1"/>
  <c r="AF91" i="1" s="1"/>
  <c r="AE95" i="1"/>
  <c r="AF95" i="1" s="1"/>
  <c r="AE114" i="1"/>
  <c r="AF114" i="1" s="1"/>
  <c r="AE98" i="1"/>
  <c r="AF98" i="1" s="1"/>
  <c r="AE99" i="1"/>
  <c r="AF99" i="1" s="1"/>
  <c r="AE110" i="1"/>
  <c r="AF110" i="1" s="1"/>
  <c r="AE73" i="1"/>
  <c r="AF73" i="1" s="1"/>
  <c r="AE111" i="1"/>
  <c r="AF111" i="1" s="1"/>
  <c r="AE100" i="1"/>
  <c r="AF100" i="1" s="1"/>
  <c r="AE75" i="1"/>
  <c r="AF75" i="1" s="1"/>
  <c r="AE109" i="1"/>
  <c r="AF109" i="1" s="1"/>
  <c r="AE101" i="1"/>
  <c r="AF101" i="1" s="1"/>
  <c r="AE74" i="1"/>
  <c r="AF74" i="1" s="1"/>
  <c r="AE103" i="1"/>
  <c r="AF103" i="1" s="1"/>
  <c r="AF76" i="1"/>
  <c r="Z103" i="1"/>
  <c r="Z110" i="1"/>
  <c r="Z109" i="1"/>
  <c r="Z99" i="1"/>
  <c r="Z74" i="1"/>
  <c r="Z73" i="1"/>
  <c r="Z75" i="1"/>
  <c r="Z101" i="1"/>
  <c r="Z111" i="1"/>
  <c r="Z98" i="1"/>
  <c r="Z92" i="1"/>
  <c r="Z100" i="1"/>
  <c r="U108" i="1"/>
  <c r="V108" i="1" s="1"/>
  <c r="U115" i="1"/>
  <c r="U112" i="1"/>
  <c r="U113" i="1"/>
  <c r="U102" i="1"/>
  <c r="V102" i="1" s="1"/>
  <c r="H91" i="1"/>
  <c r="AZ91" i="1" s="1"/>
  <c r="H94" i="1"/>
  <c r="AZ94" i="1" s="1"/>
  <c r="H95" i="1"/>
  <c r="H96" i="1"/>
  <c r="H97" i="1"/>
  <c r="AZ97" i="1" s="1"/>
  <c r="H87" i="1"/>
  <c r="AZ87" i="1" s="1"/>
  <c r="H90" i="1"/>
  <c r="H92" i="1"/>
  <c r="H93" i="1"/>
  <c r="AZ93" i="1" s="1"/>
  <c r="H78" i="1"/>
  <c r="AZ78" i="1" s="1"/>
  <c r="H81" i="1"/>
  <c r="AZ81" i="1" s="1"/>
  <c r="H113" i="1"/>
  <c r="AZ113" i="1" s="1"/>
  <c r="H83" i="1"/>
  <c r="H89" i="1"/>
  <c r="AZ89" i="1" s="1"/>
  <c r="H88" i="1"/>
  <c r="H79" i="1"/>
  <c r="AZ79" i="1" s="1"/>
  <c r="H80" i="1"/>
  <c r="H82" i="1"/>
  <c r="AZ82" i="1" s="1"/>
  <c r="H84" i="1"/>
  <c r="AZ84" i="1" s="1"/>
  <c r="H115" i="1"/>
  <c r="H85" i="1"/>
  <c r="AZ85" i="1" s="1"/>
  <c r="H86" i="1"/>
  <c r="AZ86" i="1" s="1"/>
  <c r="H112" i="1"/>
  <c r="H102" i="1"/>
  <c r="AZ102" i="1" s="1"/>
  <c r="H114" i="1"/>
  <c r="AZ114" i="1" s="1"/>
  <c r="AL113" i="1"/>
  <c r="AM113" i="1" s="1"/>
  <c r="H108" i="1"/>
  <c r="AZ108" i="1" s="1"/>
  <c r="AL115" i="1"/>
  <c r="AM115" i="1" s="1"/>
  <c r="AY103" i="1"/>
  <c r="AY99" i="1"/>
  <c r="AY100" i="1"/>
  <c r="AL114" i="1"/>
  <c r="AM114" i="1" s="1"/>
  <c r="AL112" i="1"/>
  <c r="AM112" i="1" s="1"/>
  <c r="AL108" i="1"/>
  <c r="AM108" i="1" s="1"/>
  <c r="AL102" i="1"/>
  <c r="AM102" i="1" s="1"/>
  <c r="AL97" i="1"/>
  <c r="AM97" i="1" s="1"/>
  <c r="R97" i="1"/>
  <c r="U97" i="1" s="1"/>
  <c r="AL94" i="1"/>
  <c r="AM94" i="1" s="1"/>
  <c r="R94" i="1"/>
  <c r="U94" i="1" s="1"/>
  <c r="O94" i="1"/>
  <c r="AL95" i="1"/>
  <c r="AM95" i="1" s="1"/>
  <c r="R95" i="1"/>
  <c r="AL96" i="1"/>
  <c r="AM96" i="1" s="1"/>
  <c r="R96" i="1"/>
  <c r="U96" i="1" s="1"/>
  <c r="O96" i="1"/>
  <c r="AL92" i="1"/>
  <c r="AM92" i="1" s="1"/>
  <c r="R92" i="1"/>
  <c r="O92" i="1"/>
  <c r="AL90" i="1"/>
  <c r="AM90" i="1" s="1"/>
  <c r="R90" i="1"/>
  <c r="O90" i="1"/>
  <c r="AL88" i="1"/>
  <c r="AM88" i="1" s="1"/>
  <c r="R88" i="1"/>
  <c r="U88" i="1" s="1"/>
  <c r="V88" i="1" s="1"/>
  <c r="O88" i="1"/>
  <c r="AL86" i="1"/>
  <c r="AM86" i="1" s="1"/>
  <c r="R86" i="1"/>
  <c r="U86" i="1" s="1"/>
  <c r="O86" i="1"/>
  <c r="AL84" i="1"/>
  <c r="AM84" i="1" s="1"/>
  <c r="R84" i="1"/>
  <c r="U84" i="1" s="1"/>
  <c r="V84" i="1" s="1"/>
  <c r="O84" i="1"/>
  <c r="AL82" i="1"/>
  <c r="AM82" i="1" s="1"/>
  <c r="R82" i="1"/>
  <c r="U82" i="1" s="1"/>
  <c r="V82" i="1" s="1"/>
  <c r="AT82" i="1" s="1"/>
  <c r="O82" i="1"/>
  <c r="N82" i="1"/>
  <c r="AL80" i="1"/>
  <c r="AM80" i="1" s="1"/>
  <c r="R80" i="1"/>
  <c r="O80" i="1"/>
  <c r="N80" i="1"/>
  <c r="AL79" i="1"/>
  <c r="AM79" i="1" s="1"/>
  <c r="U79" i="1"/>
  <c r="N79" i="1"/>
  <c r="AL81" i="1"/>
  <c r="AM81" i="1" s="1"/>
  <c r="R81" i="1"/>
  <c r="U81" i="1" s="1"/>
  <c r="V81" i="1" s="1"/>
  <c r="N81" i="1"/>
  <c r="AL83" i="1"/>
  <c r="AM83" i="1" s="1"/>
  <c r="R83" i="1"/>
  <c r="U83" i="1" s="1"/>
  <c r="V83" i="1" s="1"/>
  <c r="N83" i="1"/>
  <c r="AL85" i="1"/>
  <c r="AM85" i="1" s="1"/>
  <c r="R85" i="1"/>
  <c r="U85" i="1" s="1"/>
  <c r="V85" i="1" s="1"/>
  <c r="AL87" i="1"/>
  <c r="AM87" i="1" s="1"/>
  <c r="R87" i="1"/>
  <c r="U87" i="1" s="1"/>
  <c r="V87" i="1" s="1"/>
  <c r="AL89" i="1"/>
  <c r="AM89" i="1" s="1"/>
  <c r="R89" i="1"/>
  <c r="U89" i="1" s="1"/>
  <c r="V89" i="1" s="1"/>
  <c r="AL91" i="1"/>
  <c r="AM91" i="1" s="1"/>
  <c r="R91" i="1"/>
  <c r="U91" i="1" s="1"/>
  <c r="AL93" i="1"/>
  <c r="AM93" i="1" s="1"/>
  <c r="R93" i="1"/>
  <c r="U93" i="1" s="1"/>
  <c r="AL78" i="1"/>
  <c r="AM78" i="1" s="1"/>
  <c r="R78" i="1"/>
  <c r="O78" i="1"/>
  <c r="N78" i="1"/>
  <c r="AD89" i="1" l="1"/>
  <c r="AT89" i="1"/>
  <c r="AD85" i="1"/>
  <c r="AT85" i="1"/>
  <c r="AD84" i="1"/>
  <c r="AT84" i="1"/>
  <c r="AD83" i="1"/>
  <c r="AT83" i="1"/>
  <c r="AD88" i="1"/>
  <c r="AT88" i="1"/>
  <c r="AD102" i="1"/>
  <c r="AT102" i="1"/>
  <c r="AD108" i="1"/>
  <c r="AT108" i="1"/>
  <c r="AD87" i="1"/>
  <c r="AT87" i="1"/>
  <c r="AD81" i="1"/>
  <c r="AT81" i="1"/>
  <c r="AY112" i="1"/>
  <c r="AZ112" i="1"/>
  <c r="AY90" i="1"/>
  <c r="AZ90" i="1"/>
  <c r="AY92" i="1"/>
  <c r="AZ92" i="1"/>
  <c r="AY96" i="1"/>
  <c r="AZ96" i="1"/>
  <c r="AY80" i="1"/>
  <c r="AZ80" i="1"/>
  <c r="AY115" i="1"/>
  <c r="AZ115" i="1"/>
  <c r="AY83" i="1"/>
  <c r="AZ83" i="1"/>
  <c r="AY95" i="1"/>
  <c r="AZ95" i="1"/>
  <c r="AY88" i="1"/>
  <c r="AZ88" i="1"/>
  <c r="AE82" i="1"/>
  <c r="AD82" i="1"/>
  <c r="AE87" i="1"/>
  <c r="AF87" i="1" s="1"/>
  <c r="AE83" i="1"/>
  <c r="AF83" i="1" s="1"/>
  <c r="AE113" i="1"/>
  <c r="AF113" i="1" s="1"/>
  <c r="AE108" i="1"/>
  <c r="AF108" i="1" s="1"/>
  <c r="AE97" i="1"/>
  <c r="AF97" i="1" s="1"/>
  <c r="AE81" i="1"/>
  <c r="AF81" i="1" s="1"/>
  <c r="AE85" i="1"/>
  <c r="AF85" i="1" s="1"/>
  <c r="AE112" i="1"/>
  <c r="AF112" i="1" s="1"/>
  <c r="AE96" i="1"/>
  <c r="AF96" i="1" s="1"/>
  <c r="AE84" i="1"/>
  <c r="AF84" i="1" s="1"/>
  <c r="AE102" i="1"/>
  <c r="AF102" i="1" s="1"/>
  <c r="AE88" i="1"/>
  <c r="AF88" i="1" s="1"/>
  <c r="AE79" i="1"/>
  <c r="AF79" i="1" s="1"/>
  <c r="AE89" i="1"/>
  <c r="AF89" i="1" s="1"/>
  <c r="Z89" i="1"/>
  <c r="Z84" i="1"/>
  <c r="Z102" i="1"/>
  <c r="Z113" i="1"/>
  <c r="Z112" i="1"/>
  <c r="Z96" i="1"/>
  <c r="Z97" i="1"/>
  <c r="Z82" i="1"/>
  <c r="Z87" i="1"/>
  <c r="Z85" i="1"/>
  <c r="Z83" i="1"/>
  <c r="Z108" i="1"/>
  <c r="AY85" i="1"/>
  <c r="AY94" i="1"/>
  <c r="AY86" i="1"/>
  <c r="AY91" i="1"/>
  <c r="AY79" i="1"/>
  <c r="AY89" i="1"/>
  <c r="AY87" i="1"/>
  <c r="AY82" i="1"/>
  <c r="AY93" i="1"/>
  <c r="AY84" i="1"/>
  <c r="AY97" i="1"/>
  <c r="AY81" i="1"/>
  <c r="AY113" i="1"/>
  <c r="AY102" i="1"/>
  <c r="AY114" i="1"/>
  <c r="AY108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5" i="1"/>
  <c r="AE115" i="1" l="1"/>
  <c r="AF115" i="1" s="1"/>
  <c r="AF82" i="1"/>
  <c r="AY78" i="1"/>
  <c r="AL26" i="1"/>
  <c r="AM26" i="1" s="1"/>
  <c r="AY27" i="1"/>
  <c r="R27" i="1"/>
  <c r="U27" i="1" s="1"/>
  <c r="O27" i="1"/>
  <c r="N27" i="1"/>
  <c r="AY26" i="1"/>
  <c r="R26" i="1"/>
  <c r="U26" i="1" s="1"/>
  <c r="O26" i="1"/>
  <c r="N26" i="1"/>
  <c r="AL27" i="1" l="1"/>
  <c r="AM27" i="1" s="1"/>
  <c r="G72" i="1" l="1"/>
  <c r="G71" i="1"/>
  <c r="G70" i="1"/>
  <c r="G69" i="1"/>
  <c r="G68" i="1"/>
  <c r="R72" i="1"/>
  <c r="O72" i="1"/>
  <c r="N72" i="1"/>
  <c r="R71" i="1"/>
  <c r="O71" i="1"/>
  <c r="N71" i="1"/>
  <c r="R70" i="1"/>
  <c r="O70" i="1"/>
  <c r="N70" i="1"/>
  <c r="R69" i="1"/>
  <c r="O69" i="1"/>
  <c r="N69" i="1"/>
  <c r="R68" i="1"/>
  <c r="O68" i="1"/>
  <c r="N68" i="1"/>
  <c r="R57" i="1"/>
  <c r="R58" i="1"/>
  <c r="R59" i="1"/>
  <c r="R60" i="1"/>
  <c r="R61" i="1"/>
  <c r="R62" i="1"/>
  <c r="R63" i="1"/>
  <c r="R64" i="1"/>
  <c r="R65" i="1"/>
  <c r="R66" i="1"/>
  <c r="R67" i="1"/>
  <c r="N57" i="1"/>
  <c r="N58" i="1"/>
  <c r="N59" i="1"/>
  <c r="N60" i="1"/>
  <c r="N61" i="1"/>
  <c r="N62" i="1"/>
  <c r="N63" i="1"/>
  <c r="N64" i="1"/>
  <c r="N65" i="1"/>
  <c r="N66" i="1"/>
  <c r="N67" i="1"/>
  <c r="G67" i="1"/>
  <c r="O67" i="1"/>
  <c r="R6" i="1"/>
  <c r="R7" i="1"/>
  <c r="U7" i="1" s="1"/>
  <c r="Z7" i="1" s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U20" i="1" s="1"/>
  <c r="R21" i="1"/>
  <c r="R22" i="1"/>
  <c r="U22" i="1" s="1"/>
  <c r="V22" i="1" s="1"/>
  <c r="R23" i="1"/>
  <c r="R24" i="1"/>
  <c r="R25" i="1"/>
  <c r="R28" i="1"/>
  <c r="R29" i="1"/>
  <c r="R30" i="1"/>
  <c r="R31" i="1"/>
  <c r="R32" i="1"/>
  <c r="U32" i="1" s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U48" i="1" s="1"/>
  <c r="R49" i="1"/>
  <c r="R50" i="1"/>
  <c r="R51" i="1"/>
  <c r="R52" i="1"/>
  <c r="R53" i="1"/>
  <c r="R54" i="1"/>
  <c r="R55" i="1"/>
  <c r="R5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G66" i="1"/>
  <c r="O66" i="1"/>
  <c r="O65" i="1"/>
  <c r="G65" i="1"/>
  <c r="U65" i="1" s="1"/>
  <c r="O64" i="1"/>
  <c r="G64" i="1"/>
  <c r="U64" i="1" s="1"/>
  <c r="O63" i="1"/>
  <c r="G63" i="1"/>
  <c r="U63" i="1" s="1"/>
  <c r="O62" i="1"/>
  <c r="G62" i="1"/>
  <c r="U62" i="1" s="1"/>
  <c r="G61" i="1"/>
  <c r="O61" i="1"/>
  <c r="O60" i="1"/>
  <c r="G60" i="1"/>
  <c r="O59" i="1"/>
  <c r="G59" i="1"/>
  <c r="G58" i="1"/>
  <c r="O58" i="1"/>
  <c r="O56" i="1"/>
  <c r="G57" i="1"/>
  <c r="G56" i="1"/>
  <c r="O57" i="1"/>
  <c r="G55" i="1"/>
  <c r="O55" i="1"/>
  <c r="G54" i="1"/>
  <c r="O54" i="1"/>
  <c r="O53" i="1"/>
  <c r="G53" i="1"/>
  <c r="U53" i="1" s="1"/>
  <c r="O52" i="1"/>
  <c r="G52" i="1"/>
  <c r="U52" i="1" s="1"/>
  <c r="O51" i="1"/>
  <c r="G51" i="1"/>
  <c r="U51" i="1" s="1"/>
  <c r="O50" i="1"/>
  <c r="G50" i="1"/>
  <c r="U50" i="1" s="1"/>
  <c r="O49" i="1"/>
  <c r="G49" i="1"/>
  <c r="U49" i="1" s="1"/>
  <c r="O48" i="1"/>
  <c r="O47" i="1"/>
  <c r="G47" i="1"/>
  <c r="G46" i="1"/>
  <c r="G45" i="1"/>
  <c r="G44" i="1"/>
  <c r="G43" i="1"/>
  <c r="G42" i="1"/>
  <c r="Z42" i="1" s="1"/>
  <c r="AA42" i="1" s="1"/>
  <c r="G41" i="1"/>
  <c r="I39" i="1"/>
  <c r="K39" i="1" s="1"/>
  <c r="K37" i="1"/>
  <c r="G40" i="1"/>
  <c r="AL39" i="1"/>
  <c r="AM39" i="1" s="1"/>
  <c r="G38" i="1"/>
  <c r="O40" i="1"/>
  <c r="O39" i="1"/>
  <c r="G25" i="1"/>
  <c r="O25" i="1"/>
  <c r="H22" i="1"/>
  <c r="AZ22" i="1" s="1"/>
  <c r="O23" i="1"/>
  <c r="G23" i="1"/>
  <c r="O24" i="1"/>
  <c r="G24" i="1"/>
  <c r="G9" i="1"/>
  <c r="G8" i="1"/>
  <c r="O8" i="1"/>
  <c r="K8" i="1"/>
  <c r="O9" i="1"/>
  <c r="K9" i="1"/>
  <c r="R5" i="1"/>
  <c r="S5" i="1"/>
  <c r="G28" i="1"/>
  <c r="G29" i="1"/>
  <c r="G30" i="1"/>
  <c r="G31" i="1"/>
  <c r="G33" i="1"/>
  <c r="G34" i="1"/>
  <c r="G35" i="1"/>
  <c r="Z35" i="1" s="1"/>
  <c r="AA35" i="1" s="1"/>
  <c r="AB35" i="1" s="1"/>
  <c r="G36" i="1"/>
  <c r="AD22" i="1" l="1"/>
  <c r="AT22" i="1"/>
  <c r="AE61" i="1"/>
  <c r="AF61" i="1" s="1"/>
  <c r="AE33" i="1"/>
  <c r="AF33" i="1" s="1"/>
  <c r="AE60" i="1"/>
  <c r="AF60" i="1" s="1"/>
  <c r="AE29" i="1"/>
  <c r="AF29" i="1" s="1"/>
  <c r="AE55" i="1"/>
  <c r="AF55" i="1" s="1"/>
  <c r="AE9" i="1"/>
  <c r="AF9" i="1" s="1"/>
  <c r="AE57" i="1"/>
  <c r="AF57" i="1" s="1"/>
  <c r="AE31" i="1"/>
  <c r="AF31" i="1" s="1"/>
  <c r="AE8" i="1"/>
  <c r="AF8" i="1" s="1"/>
  <c r="AE56" i="1"/>
  <c r="AF56" i="1" s="1"/>
  <c r="AE59" i="1"/>
  <c r="AF59" i="1" s="1"/>
  <c r="AE41" i="1"/>
  <c r="AF41" i="1" s="1"/>
  <c r="U72" i="1"/>
  <c r="V72" i="1" s="1"/>
  <c r="AB42" i="1"/>
  <c r="Z22" i="1"/>
  <c r="AA22" i="1" s="1"/>
  <c r="AE22" i="1" s="1"/>
  <c r="V53" i="1"/>
  <c r="AT53" i="1" s="1"/>
  <c r="Z53" i="1"/>
  <c r="AA53" i="1" s="1"/>
  <c r="AB53" i="1" s="1"/>
  <c r="V63" i="1"/>
  <c r="AT63" i="1" s="1"/>
  <c r="Z63" i="1"/>
  <c r="AA63" i="1" s="1"/>
  <c r="AB63" i="1" s="1"/>
  <c r="V62" i="1"/>
  <c r="AT62" i="1" s="1"/>
  <c r="Z62" i="1"/>
  <c r="AA62" i="1" s="1"/>
  <c r="AB62" i="1" s="1"/>
  <c r="V49" i="1"/>
  <c r="AT49" i="1" s="1"/>
  <c r="Z49" i="1"/>
  <c r="AA49" i="1" s="1"/>
  <c r="AB49" i="1" s="1"/>
  <c r="V50" i="1"/>
  <c r="AT50" i="1" s="1"/>
  <c r="Z50" i="1"/>
  <c r="AA50" i="1" s="1"/>
  <c r="AB50" i="1" s="1"/>
  <c r="V52" i="1"/>
  <c r="AT52" i="1" s="1"/>
  <c r="Z52" i="1"/>
  <c r="AA52" i="1" s="1"/>
  <c r="AB52" i="1" s="1"/>
  <c r="V51" i="1"/>
  <c r="AT51" i="1" s="1"/>
  <c r="Z51" i="1"/>
  <c r="AA51" i="1" s="1"/>
  <c r="AB51" i="1" s="1"/>
  <c r="V65" i="1"/>
  <c r="AT65" i="1" s="1"/>
  <c r="Z65" i="1"/>
  <c r="AA65" i="1" s="1"/>
  <c r="AB65" i="1" s="1"/>
  <c r="V64" i="1"/>
  <c r="AT64" i="1" s="1"/>
  <c r="Z64" i="1"/>
  <c r="AA64" i="1" s="1"/>
  <c r="AB64" i="1" s="1"/>
  <c r="Z57" i="1"/>
  <c r="U54" i="1"/>
  <c r="V32" i="1"/>
  <c r="U35" i="1"/>
  <c r="U5" i="1"/>
  <c r="U42" i="1"/>
  <c r="U57" i="1"/>
  <c r="U43" i="1"/>
  <c r="V43" i="1" s="1"/>
  <c r="U68" i="1"/>
  <c r="U40" i="1"/>
  <c r="V40" i="1" s="1"/>
  <c r="U69" i="1"/>
  <c r="V69" i="1" s="1"/>
  <c r="U56" i="1"/>
  <c r="U70" i="1"/>
  <c r="V70" i="1" s="1"/>
  <c r="U8" i="1"/>
  <c r="U39" i="1"/>
  <c r="V39" i="1" s="1"/>
  <c r="AT39" i="1" s="1"/>
  <c r="U38" i="1"/>
  <c r="V38" i="1" s="1"/>
  <c r="U71" i="1"/>
  <c r="V71" i="1" s="1"/>
  <c r="U46" i="1"/>
  <c r="V46" i="1" s="1"/>
  <c r="U24" i="1"/>
  <c r="V24" i="1" s="1"/>
  <c r="U28" i="1"/>
  <c r="V28" i="1" s="1"/>
  <c r="U47" i="1"/>
  <c r="U30" i="1"/>
  <c r="V30" i="1" s="1"/>
  <c r="U31" i="1"/>
  <c r="U29" i="1"/>
  <c r="U36" i="1"/>
  <c r="V36" i="1" s="1"/>
  <c r="AT36" i="1" s="1"/>
  <c r="U34" i="1"/>
  <c r="U67" i="1"/>
  <c r="V67" i="1" s="1"/>
  <c r="U37" i="1"/>
  <c r="V37" i="1" s="1"/>
  <c r="AT37" i="1" s="1"/>
  <c r="U33" i="1"/>
  <c r="U66" i="1"/>
  <c r="V66" i="1" s="1"/>
  <c r="U61" i="1"/>
  <c r="U25" i="1"/>
  <c r="V25" i="1" s="1"/>
  <c r="U59" i="1"/>
  <c r="U23" i="1"/>
  <c r="U58" i="1"/>
  <c r="Z58" i="1" s="1"/>
  <c r="U60" i="1"/>
  <c r="U45" i="1"/>
  <c r="V45" i="1" s="1"/>
  <c r="AT45" i="1" s="1"/>
  <c r="U44" i="1"/>
  <c r="V44" i="1" s="1"/>
  <c r="H58" i="1"/>
  <c r="AZ58" i="1" s="1"/>
  <c r="H68" i="1"/>
  <c r="AZ68" i="1" s="1"/>
  <c r="H34" i="1"/>
  <c r="AZ34" i="1" s="1"/>
  <c r="AL40" i="1"/>
  <c r="AM40" i="1" s="1"/>
  <c r="AL55" i="1"/>
  <c r="AM55" i="1" s="1"/>
  <c r="AL69" i="1"/>
  <c r="AM69" i="1" s="1"/>
  <c r="AL60" i="1"/>
  <c r="AM60" i="1" s="1"/>
  <c r="AL63" i="1"/>
  <c r="AM63" i="1" s="1"/>
  <c r="H45" i="1"/>
  <c r="AZ45" i="1" s="1"/>
  <c r="AL56" i="1"/>
  <c r="AM56" i="1" s="1"/>
  <c r="AL66" i="1"/>
  <c r="AM66" i="1" s="1"/>
  <c r="AL67" i="1"/>
  <c r="AM67" i="1" s="1"/>
  <c r="AL70" i="1"/>
  <c r="AM70" i="1" s="1"/>
  <c r="AL59" i="1"/>
  <c r="AM59" i="1" s="1"/>
  <c r="H46" i="1"/>
  <c r="AZ46" i="1" s="1"/>
  <c r="AL57" i="1"/>
  <c r="AM57" i="1" s="1"/>
  <c r="AL71" i="1"/>
  <c r="AM71" i="1" s="1"/>
  <c r="AL62" i="1"/>
  <c r="AM62" i="1" s="1"/>
  <c r="H44" i="1"/>
  <c r="AZ44" i="1" s="1"/>
  <c r="H8" i="1"/>
  <c r="AZ8" i="1" s="1"/>
  <c r="AL9" i="1"/>
  <c r="AM9" i="1" s="1"/>
  <c r="H72" i="1"/>
  <c r="AZ72" i="1" s="1"/>
  <c r="AL49" i="1"/>
  <c r="AM49" i="1" s="1"/>
  <c r="AL51" i="1"/>
  <c r="AM51" i="1" s="1"/>
  <c r="H52" i="1"/>
  <c r="AZ52" i="1" s="1"/>
  <c r="AL53" i="1"/>
  <c r="AM53" i="1" s="1"/>
  <c r="AL54" i="1"/>
  <c r="AM54" i="1" s="1"/>
  <c r="H50" i="1"/>
  <c r="AZ50" i="1" s="1"/>
  <c r="H25" i="1"/>
  <c r="AZ25" i="1" s="1"/>
  <c r="AL23" i="1"/>
  <c r="AM23" i="1" s="1"/>
  <c r="H23" i="1"/>
  <c r="AZ23" i="1" s="1"/>
  <c r="H24" i="1"/>
  <c r="AZ24" i="1" s="1"/>
  <c r="AL68" i="1"/>
  <c r="AM68" i="1" s="1"/>
  <c r="AL72" i="1"/>
  <c r="AM72" i="1" s="1"/>
  <c r="H63" i="1"/>
  <c r="AZ63" i="1" s="1"/>
  <c r="H57" i="1"/>
  <c r="AZ57" i="1" s="1"/>
  <c r="AL65" i="1"/>
  <c r="AM65" i="1" s="1"/>
  <c r="AL48" i="1"/>
  <c r="AM48" i="1" s="1"/>
  <c r="H53" i="1"/>
  <c r="AZ53" i="1" s="1"/>
  <c r="H70" i="1"/>
  <c r="AZ70" i="1" s="1"/>
  <c r="H71" i="1"/>
  <c r="AZ71" i="1" s="1"/>
  <c r="H69" i="1"/>
  <c r="AZ69" i="1" s="1"/>
  <c r="H67" i="1"/>
  <c r="AZ67" i="1" s="1"/>
  <c r="H64" i="1"/>
  <c r="AZ64" i="1" s="1"/>
  <c r="AL64" i="1"/>
  <c r="AM64" i="1" s="1"/>
  <c r="H59" i="1"/>
  <c r="AZ59" i="1" s="1"/>
  <c r="AL61" i="1"/>
  <c r="AM61" i="1" s="1"/>
  <c r="H65" i="1"/>
  <c r="AZ65" i="1" s="1"/>
  <c r="H62" i="1"/>
  <c r="AZ62" i="1" s="1"/>
  <c r="H61" i="1"/>
  <c r="AZ61" i="1" s="1"/>
  <c r="H60" i="1"/>
  <c r="AZ60" i="1" s="1"/>
  <c r="AL58" i="1"/>
  <c r="AM58" i="1" s="1"/>
  <c r="H56" i="1"/>
  <c r="AZ56" i="1" s="1"/>
  <c r="H47" i="1"/>
  <c r="AZ47" i="1" s="1"/>
  <c r="AL47" i="1"/>
  <c r="AM47" i="1" s="1"/>
  <c r="H54" i="1"/>
  <c r="AZ54" i="1" s="1"/>
  <c r="AL52" i="1"/>
  <c r="AM52" i="1" s="1"/>
  <c r="H55" i="1"/>
  <c r="AZ55" i="1" s="1"/>
  <c r="AL50" i="1"/>
  <c r="AM50" i="1" s="1"/>
  <c r="H49" i="1"/>
  <c r="AZ49" i="1" s="1"/>
  <c r="H51" i="1"/>
  <c r="AZ51" i="1" s="1"/>
  <c r="AL24" i="1"/>
  <c r="AM24" i="1" s="1"/>
  <c r="AL25" i="1"/>
  <c r="AM25" i="1" s="1"/>
  <c r="H40" i="1"/>
  <c r="AZ40" i="1" s="1"/>
  <c r="AL8" i="1"/>
  <c r="AM8" i="1" s="1"/>
  <c r="H9" i="1"/>
  <c r="AZ9" i="1" s="1"/>
  <c r="G21" i="1"/>
  <c r="U21" i="1" s="1"/>
  <c r="G17" i="1"/>
  <c r="U17" i="1" s="1"/>
  <c r="G18" i="1"/>
  <c r="U18" i="1" s="1"/>
  <c r="G19" i="1"/>
  <c r="U19" i="1" s="1"/>
  <c r="G16" i="1"/>
  <c r="U16" i="1" s="1"/>
  <c r="G15" i="1"/>
  <c r="G14" i="1"/>
  <c r="G13" i="1"/>
  <c r="U13" i="1" s="1"/>
  <c r="Z13" i="1" s="1"/>
  <c r="G12" i="1"/>
  <c r="G11" i="1"/>
  <c r="U11" i="1" s="1"/>
  <c r="Z11" i="1" s="1"/>
  <c r="G10" i="1"/>
  <c r="O6" i="1"/>
  <c r="AD30" i="1" l="1"/>
  <c r="AT30" i="1"/>
  <c r="AD32" i="1"/>
  <c r="AT32" i="1"/>
  <c r="AD72" i="1"/>
  <c r="AT72" i="1"/>
  <c r="AD24" i="1"/>
  <c r="AT24" i="1"/>
  <c r="AD44" i="1"/>
  <c r="AT44" i="1"/>
  <c r="AD38" i="1"/>
  <c r="AT38" i="1"/>
  <c r="AD25" i="1"/>
  <c r="AT25" i="1"/>
  <c r="AD71" i="1"/>
  <c r="AT71" i="1"/>
  <c r="AD70" i="1"/>
  <c r="AT70" i="1"/>
  <c r="AD67" i="1"/>
  <c r="AT67" i="1"/>
  <c r="AD28" i="1"/>
  <c r="AT28" i="1"/>
  <c r="AD46" i="1"/>
  <c r="AT46" i="1"/>
  <c r="AD69" i="1"/>
  <c r="AT69" i="1"/>
  <c r="AD66" i="1"/>
  <c r="AT66" i="1"/>
  <c r="AD40" i="1"/>
  <c r="AT40" i="1"/>
  <c r="AD43" i="1"/>
  <c r="AT43" i="1"/>
  <c r="AY55" i="1"/>
  <c r="AY57" i="1"/>
  <c r="AD64" i="1"/>
  <c r="AD62" i="1"/>
  <c r="AD53" i="1"/>
  <c r="AD52" i="1"/>
  <c r="AD50" i="1"/>
  <c r="AD65" i="1"/>
  <c r="AD49" i="1"/>
  <c r="AD63" i="1"/>
  <c r="AD51" i="1"/>
  <c r="AE42" i="1"/>
  <c r="AF42" i="1" s="1"/>
  <c r="AD42" i="1"/>
  <c r="Z5" i="1"/>
  <c r="AE14" i="1"/>
  <c r="AF14" i="1" s="1"/>
  <c r="AE10" i="1"/>
  <c r="AF10" i="1" s="1"/>
  <c r="AE65" i="1"/>
  <c r="AF65" i="1" s="1"/>
  <c r="AE53" i="1"/>
  <c r="AF53" i="1" s="1"/>
  <c r="AE51" i="1"/>
  <c r="AF51" i="1" s="1"/>
  <c r="AE52" i="1"/>
  <c r="AF52" i="1" s="1"/>
  <c r="AE43" i="1"/>
  <c r="AF43" i="1" s="1"/>
  <c r="AE62" i="1"/>
  <c r="AF62" i="1" s="1"/>
  <c r="AE63" i="1"/>
  <c r="AF63" i="1" s="1"/>
  <c r="AE40" i="1"/>
  <c r="AF40" i="1" s="1"/>
  <c r="AE47" i="1"/>
  <c r="AF47" i="1" s="1"/>
  <c r="AE44" i="1"/>
  <c r="AF44" i="1" s="1"/>
  <c r="AE46" i="1"/>
  <c r="AF46" i="1" s="1"/>
  <c r="AE64" i="1"/>
  <c r="AF64" i="1" s="1"/>
  <c r="AE50" i="1"/>
  <c r="AF50" i="1" s="1"/>
  <c r="AE49" i="1"/>
  <c r="AF49" i="1" s="1"/>
  <c r="AE30" i="1"/>
  <c r="AF30" i="1" s="1"/>
  <c r="AE32" i="1"/>
  <c r="AF32" i="1" s="1"/>
  <c r="AE28" i="1"/>
  <c r="AF28" i="1" s="1"/>
  <c r="Z72" i="1"/>
  <c r="AA72" i="1" s="1"/>
  <c r="AE72" i="1" s="1"/>
  <c r="AF72" i="1" s="1"/>
  <c r="AF22" i="1"/>
  <c r="Z71" i="1"/>
  <c r="AA71" i="1" s="1"/>
  <c r="Z24" i="1"/>
  <c r="AE24" i="1" s="1"/>
  <c r="Z45" i="1"/>
  <c r="AA45" i="1" s="1"/>
  <c r="Z70" i="1"/>
  <c r="AA70" i="1" s="1"/>
  <c r="Z66" i="1"/>
  <c r="AA66" i="1" s="1"/>
  <c r="Z69" i="1"/>
  <c r="AA69" i="1" s="1"/>
  <c r="AE69" i="1" s="1"/>
  <c r="Z67" i="1"/>
  <c r="AA67" i="1" s="1"/>
  <c r="Z21" i="1"/>
  <c r="AA21" i="1" s="1"/>
  <c r="Z25" i="1"/>
  <c r="AA25" i="1" s="1"/>
  <c r="AE25" i="1" s="1"/>
  <c r="V16" i="1"/>
  <c r="AT16" i="1" s="1"/>
  <c r="Z16" i="1"/>
  <c r="AA16" i="1" s="1"/>
  <c r="AB16" i="1" s="1"/>
  <c r="V18" i="1"/>
  <c r="AT18" i="1" s="1"/>
  <c r="Z18" i="1"/>
  <c r="AA18" i="1" s="1"/>
  <c r="AB18" i="1" s="1"/>
  <c r="Z38" i="1"/>
  <c r="AA38" i="1" s="1"/>
  <c r="Z39" i="1"/>
  <c r="AA39" i="1" s="1"/>
  <c r="Z40" i="1"/>
  <c r="Z37" i="1"/>
  <c r="AA37" i="1" s="1"/>
  <c r="AB37" i="1" s="1"/>
  <c r="AD37" i="1" s="1"/>
  <c r="Z36" i="1"/>
  <c r="AA36" i="1" s="1"/>
  <c r="AB36" i="1" s="1"/>
  <c r="AD36" i="1" s="1"/>
  <c r="Z46" i="1"/>
  <c r="Z44" i="1"/>
  <c r="V19" i="1"/>
  <c r="AT19" i="1" s="1"/>
  <c r="Z19" i="1"/>
  <c r="AA19" i="1" s="1"/>
  <c r="AB19" i="1" s="1"/>
  <c r="Z43" i="1"/>
  <c r="V17" i="1"/>
  <c r="AT17" i="1" s="1"/>
  <c r="Z17" i="1"/>
  <c r="AA17" i="1" s="1"/>
  <c r="AB17" i="1" s="1"/>
  <c r="Z30" i="1"/>
  <c r="Z47" i="1"/>
  <c r="Z32" i="1"/>
  <c r="Z28" i="1"/>
  <c r="Z54" i="1"/>
  <c r="U10" i="1"/>
  <c r="U15" i="1"/>
  <c r="V68" i="1"/>
  <c r="V13" i="1"/>
  <c r="V11" i="1"/>
  <c r="V23" i="1"/>
  <c r="V34" i="1"/>
  <c r="V35" i="1"/>
  <c r="U14" i="1"/>
  <c r="U12" i="1"/>
  <c r="Z12" i="1" s="1"/>
  <c r="AY58" i="1"/>
  <c r="AY8" i="1"/>
  <c r="AY50" i="1"/>
  <c r="H21" i="1"/>
  <c r="AZ21" i="1" s="1"/>
  <c r="AY52" i="1"/>
  <c r="AY68" i="1"/>
  <c r="AY72" i="1"/>
  <c r="AY23" i="1"/>
  <c r="AY25" i="1"/>
  <c r="AY24" i="1"/>
  <c r="AY63" i="1"/>
  <c r="AY47" i="1"/>
  <c r="AY53" i="1"/>
  <c r="AY56" i="1"/>
  <c r="AY70" i="1"/>
  <c r="AY69" i="1"/>
  <c r="AY71" i="1"/>
  <c r="AY67" i="1"/>
  <c r="AY59" i="1"/>
  <c r="AY64" i="1"/>
  <c r="AY65" i="1"/>
  <c r="AY62" i="1"/>
  <c r="AY61" i="1"/>
  <c r="AY60" i="1"/>
  <c r="AY54" i="1"/>
  <c r="AY49" i="1"/>
  <c r="AY51" i="1"/>
  <c r="AY48" i="1"/>
  <c r="AY40" i="1"/>
  <c r="AY39" i="1"/>
  <c r="AY9" i="1"/>
  <c r="K6" i="1"/>
  <c r="K5" i="1"/>
  <c r="H6" i="1"/>
  <c r="AZ6" i="1" s="1"/>
  <c r="H5" i="1"/>
  <c r="AZ5" i="1" s="1"/>
  <c r="AD13" i="1" l="1"/>
  <c r="AT13" i="1"/>
  <c r="AD68" i="1"/>
  <c r="AT68" i="1"/>
  <c r="AD35" i="1"/>
  <c r="AT35" i="1"/>
  <c r="AD23" i="1"/>
  <c r="AT23" i="1"/>
  <c r="AD34" i="1"/>
  <c r="AT34" i="1"/>
  <c r="AD11" i="1"/>
  <c r="AT11" i="1"/>
  <c r="AD16" i="1"/>
  <c r="AD18" i="1"/>
  <c r="AD19" i="1"/>
  <c r="AD17" i="1"/>
  <c r="AE17" i="1"/>
  <c r="AF17" i="1" s="1"/>
  <c r="AE35" i="1"/>
  <c r="AF35" i="1" s="1"/>
  <c r="AE34" i="1"/>
  <c r="AF34" i="1" s="1"/>
  <c r="AE19" i="1"/>
  <c r="AF19" i="1" s="1"/>
  <c r="AE58" i="1"/>
  <c r="AF58" i="1" s="1"/>
  <c r="AE18" i="1"/>
  <c r="AF18" i="1" s="1"/>
  <c r="AE11" i="1"/>
  <c r="AF11" i="1" s="1"/>
  <c r="AE13" i="1"/>
  <c r="AF13" i="1" s="1"/>
  <c r="AE54" i="1"/>
  <c r="AF54" i="1" s="1"/>
  <c r="AE16" i="1"/>
  <c r="AF16" i="1" s="1"/>
  <c r="AF24" i="1"/>
  <c r="AF69" i="1"/>
  <c r="AF25" i="1"/>
  <c r="AE70" i="1"/>
  <c r="AF70" i="1" s="1"/>
  <c r="AE21" i="1"/>
  <c r="AF21" i="1" s="1"/>
  <c r="AB45" i="1"/>
  <c r="AE36" i="1"/>
  <c r="AF36" i="1" s="1"/>
  <c r="AE71" i="1"/>
  <c r="AF71" i="1" s="1"/>
  <c r="AE37" i="1"/>
  <c r="AF37" i="1" s="1"/>
  <c r="AE67" i="1"/>
  <c r="AF67" i="1" s="1"/>
  <c r="AE66" i="1"/>
  <c r="AF66" i="1" s="1"/>
  <c r="AB39" i="1"/>
  <c r="AE38" i="1"/>
  <c r="AF38" i="1" s="1"/>
  <c r="Z23" i="1"/>
  <c r="AA23" i="1" s="1"/>
  <c r="Z15" i="1"/>
  <c r="Z68" i="1"/>
  <c r="AA68" i="1" s="1"/>
  <c r="V12" i="1"/>
  <c r="O46" i="1"/>
  <c r="O45" i="1"/>
  <c r="O44" i="1"/>
  <c r="O43" i="1"/>
  <c r="O42" i="1"/>
  <c r="O41" i="1"/>
  <c r="O38" i="1"/>
  <c r="O37" i="1"/>
  <c r="O36" i="1"/>
  <c r="O35" i="1"/>
  <c r="O34" i="1"/>
  <c r="O33" i="1"/>
  <c r="O32" i="1"/>
  <c r="O31" i="1"/>
  <c r="O30" i="1"/>
  <c r="O29" i="1"/>
  <c r="O28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7" i="1"/>
  <c r="AL6" i="1"/>
  <c r="AM6" i="1" s="1"/>
  <c r="AL7" i="1"/>
  <c r="AM7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5" i="1"/>
  <c r="AM5" i="1" s="1"/>
  <c r="K28" i="1"/>
  <c r="K19" i="1"/>
  <c r="K18" i="1"/>
  <c r="K17" i="1"/>
  <c r="K16" i="1"/>
  <c r="K15" i="1"/>
  <c r="K13" i="1"/>
  <c r="K12" i="1"/>
  <c r="K11" i="1"/>
  <c r="K10" i="1"/>
  <c r="K7" i="1"/>
  <c r="H66" i="1"/>
  <c r="AZ66" i="1" s="1"/>
  <c r="H10" i="1"/>
  <c r="AZ10" i="1" s="1"/>
  <c r="H11" i="1"/>
  <c r="AZ11" i="1" s="1"/>
  <c r="H12" i="1"/>
  <c r="AZ12" i="1" s="1"/>
  <c r="H13" i="1"/>
  <c r="AZ13" i="1" s="1"/>
  <c r="H14" i="1"/>
  <c r="AZ14" i="1" s="1"/>
  <c r="H15" i="1"/>
  <c r="AZ15" i="1" s="1"/>
  <c r="H16" i="1"/>
  <c r="AZ16" i="1" s="1"/>
  <c r="H17" i="1"/>
  <c r="AZ17" i="1" s="1"/>
  <c r="H18" i="1"/>
  <c r="AZ18" i="1" s="1"/>
  <c r="H19" i="1"/>
  <c r="AZ19" i="1" s="1"/>
  <c r="AY20" i="1"/>
  <c r="H28" i="1"/>
  <c r="AZ28" i="1" s="1"/>
  <c r="H29" i="1"/>
  <c r="AZ29" i="1" s="1"/>
  <c r="H30" i="1"/>
  <c r="AZ30" i="1" s="1"/>
  <c r="H31" i="1"/>
  <c r="AZ31" i="1" s="1"/>
  <c r="H32" i="1"/>
  <c r="AZ32" i="1" s="1"/>
  <c r="H33" i="1"/>
  <c r="AZ33" i="1" s="1"/>
  <c r="H35" i="1"/>
  <c r="AZ35" i="1" s="1"/>
  <c r="H36" i="1"/>
  <c r="AZ36" i="1" s="1"/>
  <c r="H38" i="1"/>
  <c r="AZ38" i="1" s="1"/>
  <c r="H41" i="1"/>
  <c r="AZ41" i="1" s="1"/>
  <c r="H42" i="1"/>
  <c r="AZ42" i="1" s="1"/>
  <c r="H43" i="1"/>
  <c r="AZ43" i="1" s="1"/>
  <c r="H7" i="1"/>
  <c r="AZ7" i="1" s="1"/>
  <c r="AD12" i="1" l="1"/>
  <c r="AT12" i="1"/>
  <c r="AY17" i="1"/>
  <c r="AY43" i="1"/>
  <c r="AY10" i="1"/>
  <c r="AY33" i="1"/>
  <c r="AE45" i="1"/>
  <c r="AF45" i="1" s="1"/>
  <c r="AD45" i="1"/>
  <c r="AE39" i="1"/>
  <c r="AF39" i="1" s="1"/>
  <c r="AD39" i="1"/>
  <c r="AE12" i="1"/>
  <c r="AF12" i="1" s="1"/>
  <c r="AE15" i="1"/>
  <c r="AF15" i="1" s="1"/>
  <c r="AE68" i="1"/>
  <c r="AF68" i="1" s="1"/>
  <c r="AE23" i="1"/>
  <c r="AF23" i="1" s="1"/>
  <c r="B3" i="1"/>
  <c r="R116" i="1"/>
  <c r="X116" i="1"/>
  <c r="R3" i="1"/>
  <c r="AG116" i="1"/>
  <c r="AK116" i="1"/>
  <c r="AY66" i="1"/>
  <c r="L116" i="1"/>
  <c r="AY46" i="1"/>
  <c r="AY44" i="1"/>
  <c r="AY32" i="1"/>
  <c r="AY45" i="1"/>
  <c r="AY14" i="1"/>
  <c r="AY31" i="1"/>
  <c r="AY38" i="1"/>
  <c r="AY21" i="1"/>
  <c r="AY5" i="1"/>
  <c r="AY6" i="1"/>
  <c r="AY7" i="1"/>
  <c r="AY15" i="1"/>
  <c r="H116" i="1"/>
  <c r="AY16" i="1"/>
  <c r="AY42" i="1"/>
  <c r="AY30" i="1"/>
  <c r="AY22" i="1"/>
  <c r="AY13" i="1"/>
  <c r="AY19" i="1"/>
  <c r="AY41" i="1"/>
  <c r="AY18" i="1"/>
  <c r="AY12" i="1"/>
  <c r="AY28" i="1"/>
  <c r="AY11" i="1"/>
  <c r="AY29" i="1"/>
  <c r="X3" i="1" l="1"/>
  <c r="AY116" i="1"/>
  <c r="AZ116" i="1"/>
</calcChain>
</file>

<file path=xl/sharedStrings.xml><?xml version="1.0" encoding="utf-8"?>
<sst xmlns="http://schemas.openxmlformats.org/spreadsheetml/2006/main" count="985" uniqueCount="383">
  <si>
    <t>RTU-01b</t>
  </si>
  <si>
    <t>RTU-01c</t>
  </si>
  <si>
    <t>MSIU-01</t>
  </si>
  <si>
    <t>VRF-01</t>
  </si>
  <si>
    <t>VRF-02</t>
  </si>
  <si>
    <t>SPACE NUMBER</t>
  </si>
  <si>
    <t>SPACE</t>
  </si>
  <si>
    <t>#</t>
  </si>
  <si>
    <t>Corridor</t>
  </si>
  <si>
    <t>Office</t>
  </si>
  <si>
    <t>COOLING UNIT</t>
  </si>
  <si>
    <t>AREA DETAILS</t>
  </si>
  <si>
    <t>OCCUPANCY</t>
  </si>
  <si>
    <t>AREA</t>
  </si>
  <si>
    <t>INSIDE CONDITIONS</t>
  </si>
  <si>
    <t>TEMP</t>
  </si>
  <si>
    <t>RH %</t>
  </si>
  <si>
    <t>FRESH AIR</t>
  </si>
  <si>
    <t>L/S</t>
  </si>
  <si>
    <t>W/sqm</t>
  </si>
  <si>
    <t>W</t>
  </si>
  <si>
    <t>EQUIPMENT LOAD</t>
  </si>
  <si>
    <t>LIGHTING</t>
  </si>
  <si>
    <t>KW</t>
  </si>
  <si>
    <t>Total KW</t>
  </si>
  <si>
    <t>Sensible KW</t>
  </si>
  <si>
    <t>E.D.B</t>
  </si>
  <si>
    <t>E.W.B</t>
  </si>
  <si>
    <t>L.D.B</t>
  </si>
  <si>
    <t>L.W.B</t>
  </si>
  <si>
    <t>A.C CAPACITY</t>
  </si>
  <si>
    <t>&lt;60</t>
  </si>
  <si>
    <t>L/S / sqm</t>
  </si>
  <si>
    <t>l/s  person</t>
  </si>
  <si>
    <t>l/s / sqm</t>
  </si>
  <si>
    <t>TOTAL</t>
  </si>
  <si>
    <t>TOTAL Area</t>
  </si>
  <si>
    <t>W / sqm</t>
  </si>
  <si>
    <t>-</t>
  </si>
  <si>
    <t>Totals and Averages</t>
  </si>
  <si>
    <t>Ashrae Occupancy</t>
  </si>
  <si>
    <t>Category</t>
  </si>
  <si>
    <t>Space Usage</t>
  </si>
  <si>
    <t>Density</t>
  </si>
  <si>
    <t>Lobbies</t>
  </si>
  <si>
    <t>Garbage Room</t>
  </si>
  <si>
    <t>GF-001</t>
  </si>
  <si>
    <t>GF-002</t>
  </si>
  <si>
    <t>GF-003</t>
  </si>
  <si>
    <t>GF-004</t>
  </si>
  <si>
    <t>GF-005</t>
  </si>
  <si>
    <t>GF-006</t>
  </si>
  <si>
    <t>GF-007</t>
  </si>
  <si>
    <t>GF-008</t>
  </si>
  <si>
    <t>GF-009</t>
  </si>
  <si>
    <t>GF-010</t>
  </si>
  <si>
    <t>GF-011</t>
  </si>
  <si>
    <t>GF-012</t>
  </si>
  <si>
    <t>GF-013</t>
  </si>
  <si>
    <t>GF-014</t>
  </si>
  <si>
    <t>غرفة نفايات</t>
  </si>
  <si>
    <t>غرفة غسيل الملاءات</t>
  </si>
  <si>
    <t>مخزن مستلزمات تنظيف</t>
  </si>
  <si>
    <t>غرفة تعقيم</t>
  </si>
  <si>
    <t>Sub-Store for Supplies</t>
  </si>
  <si>
    <t>Sheet Washing Room</t>
  </si>
  <si>
    <t>Sanitizing Room</t>
  </si>
  <si>
    <t>Cleaning Supplies Storage</t>
  </si>
  <si>
    <t>مخزن مستلزمات اعداد</t>
  </si>
  <si>
    <t>غرفة مشاهدة نساء</t>
  </si>
  <si>
    <t>Preparation Supplies Storage</t>
  </si>
  <si>
    <t>Women's Viewing Room</t>
  </si>
  <si>
    <t>خزن فرعي لمستلزمات التجهيز</t>
  </si>
  <si>
    <t>GF-015</t>
  </si>
  <si>
    <t>دورة مياه نساء</t>
  </si>
  <si>
    <t>غرفة تبريد</t>
  </si>
  <si>
    <t>غرفة تجهيز وتكفين</t>
  </si>
  <si>
    <t>Women's Rest Room</t>
  </si>
  <si>
    <t>Cold Room</t>
  </si>
  <si>
    <t>GF-016</t>
  </si>
  <si>
    <t>GF-017</t>
  </si>
  <si>
    <t>GF-018</t>
  </si>
  <si>
    <t>GF-019</t>
  </si>
  <si>
    <t>GF-020</t>
  </si>
  <si>
    <t>GF-021</t>
  </si>
  <si>
    <t>GF-022</t>
  </si>
  <si>
    <t>GF-023</t>
  </si>
  <si>
    <t>GF-024</t>
  </si>
  <si>
    <t>GF-025</t>
  </si>
  <si>
    <t>GF-026</t>
  </si>
  <si>
    <t>GF-027</t>
  </si>
  <si>
    <t>GF-028</t>
  </si>
  <si>
    <t>GF-029</t>
  </si>
  <si>
    <t>GF-030</t>
  </si>
  <si>
    <t>GF-031</t>
  </si>
  <si>
    <t>GF-032</t>
  </si>
  <si>
    <t xml:space="preserve">صالة انتظار </t>
  </si>
  <si>
    <t>Waiting Room</t>
  </si>
  <si>
    <t>غرفة رعاية طبية اسعافات اولية</t>
  </si>
  <si>
    <t>First Aid Medical Care Room</t>
  </si>
  <si>
    <t xml:space="preserve">صالة انتظار عائلية </t>
  </si>
  <si>
    <t>Family Waiting Room</t>
  </si>
  <si>
    <t>غرفة خدمات ميكانيكية</t>
  </si>
  <si>
    <t>غرفة خدمات تشغيلية</t>
  </si>
  <si>
    <t>استراحة خدمة العملاء</t>
  </si>
  <si>
    <t>Mechanical Room</t>
  </si>
  <si>
    <t>Customer Service Lounge</t>
  </si>
  <si>
    <t>By Space as per arch Plans</t>
  </si>
  <si>
    <t>As per Ashrae</t>
  </si>
  <si>
    <t>Storage</t>
  </si>
  <si>
    <t xml:space="preserve">bathroom </t>
  </si>
  <si>
    <t>Prep and Shrouding area</t>
  </si>
  <si>
    <t>Waiting Area</t>
  </si>
  <si>
    <t>Cafeteria</t>
  </si>
  <si>
    <t>Prayer Room</t>
  </si>
  <si>
    <t xml:space="preserve">Ablution </t>
  </si>
  <si>
    <t>Occupancy Density as per ASHRAE</t>
  </si>
  <si>
    <t>Exhaust Air Requirements</t>
  </si>
  <si>
    <t xml:space="preserve">Lighting Density </t>
  </si>
  <si>
    <t xml:space="preserve">Equipment Heat Dissipation </t>
  </si>
  <si>
    <t>25/unit</t>
  </si>
  <si>
    <t>Laundry Room</t>
  </si>
  <si>
    <t xml:space="preserve"> L/s person</t>
  </si>
  <si>
    <t xml:space="preserve">Fresh Air Requirements  L/s m2 </t>
  </si>
  <si>
    <t>Operational Services Room</t>
  </si>
  <si>
    <t>Corporate Social Responsibility Office</t>
  </si>
  <si>
    <t>مكتب مسؤولية مجتمعية</t>
  </si>
  <si>
    <t>غرفة تخزين عبوات مياه الشرب</t>
  </si>
  <si>
    <t>Water Bottle Storage Room</t>
  </si>
  <si>
    <t>غرفة صيانة</t>
  </si>
  <si>
    <t>موضى</t>
  </si>
  <si>
    <t>مصلى</t>
  </si>
  <si>
    <t>Maintenance Room</t>
  </si>
  <si>
    <t>Ablution</t>
  </si>
  <si>
    <t>كافتيريا</t>
  </si>
  <si>
    <t>GF-018-A</t>
  </si>
  <si>
    <t>GF-018-B</t>
  </si>
  <si>
    <t>Reception</t>
  </si>
  <si>
    <t>مكتب استقبال</t>
  </si>
  <si>
    <t>GF-018-C</t>
  </si>
  <si>
    <t>مكتب امن</t>
  </si>
  <si>
    <t>Security Office</t>
  </si>
  <si>
    <t>مكتب امن حكومي</t>
  </si>
  <si>
    <t>Government Security Office</t>
  </si>
  <si>
    <t>دورة مياه رجال</t>
  </si>
  <si>
    <t>GF-033</t>
  </si>
  <si>
    <t>GF-034</t>
  </si>
  <si>
    <t>GF-035</t>
  </si>
  <si>
    <t>GF-036</t>
  </si>
  <si>
    <t>GF-037</t>
  </si>
  <si>
    <t>GF-038</t>
  </si>
  <si>
    <t>GF-039</t>
  </si>
  <si>
    <t>GF-040</t>
  </si>
  <si>
    <t>GF-041</t>
  </si>
  <si>
    <t>GF-042</t>
  </si>
  <si>
    <t>GF-043</t>
  </si>
  <si>
    <t>GF-044</t>
  </si>
  <si>
    <t>GF-045</t>
  </si>
  <si>
    <t>GF-046</t>
  </si>
  <si>
    <t>GF-047</t>
  </si>
  <si>
    <t>GF-048</t>
  </si>
  <si>
    <t>GF-049</t>
  </si>
  <si>
    <t>GF-050</t>
  </si>
  <si>
    <t>GF-051</t>
  </si>
  <si>
    <t>GF-052</t>
  </si>
  <si>
    <t>GF-053</t>
  </si>
  <si>
    <t>Men's Rest Room</t>
  </si>
  <si>
    <t>مكتب مشرف الوردية</t>
  </si>
  <si>
    <t>مكتب اصدار شهادة الدفن</t>
  </si>
  <si>
    <t>Shift Supervisor Office</t>
  </si>
  <si>
    <t>Burial Certificate issuance Office</t>
  </si>
  <si>
    <t>mechanical/maintenance room</t>
  </si>
  <si>
    <t>Preparation and Shrouding Room</t>
  </si>
  <si>
    <t>GF-054</t>
  </si>
  <si>
    <t>GF-055</t>
  </si>
  <si>
    <t>GF-056</t>
  </si>
  <si>
    <t>GF-057</t>
  </si>
  <si>
    <t>GF-058</t>
  </si>
  <si>
    <t>GF-059</t>
  </si>
  <si>
    <t>GF-060</t>
  </si>
  <si>
    <t>GF-061</t>
  </si>
  <si>
    <t>GF-062</t>
  </si>
  <si>
    <t>GF-063</t>
  </si>
  <si>
    <t>Men's Viewing Room</t>
  </si>
  <si>
    <t>غرفة مشاهدة رجال</t>
  </si>
  <si>
    <t>Customer Service</t>
  </si>
  <si>
    <t>خدمة العملاء</t>
  </si>
  <si>
    <t>مكتب خدمة عملاء</t>
  </si>
  <si>
    <t>عمالة التجهيز رجال</t>
  </si>
  <si>
    <t>عمالة التجهيز نساء</t>
  </si>
  <si>
    <t>غرفة امن</t>
  </si>
  <si>
    <t>Security Room</t>
  </si>
  <si>
    <t>Men Preparation Staff</t>
  </si>
  <si>
    <t>Women Preparation Staff</t>
  </si>
  <si>
    <t>Customer Service Office</t>
  </si>
  <si>
    <t>FF-002</t>
  </si>
  <si>
    <t>FF-003</t>
  </si>
  <si>
    <t>FF-004</t>
  </si>
  <si>
    <t>FF-005</t>
  </si>
  <si>
    <t>FF-006</t>
  </si>
  <si>
    <t>FF-007</t>
  </si>
  <si>
    <t>FF-008</t>
  </si>
  <si>
    <t>FF-009</t>
  </si>
  <si>
    <t>FF-010</t>
  </si>
  <si>
    <t>FF-011</t>
  </si>
  <si>
    <t>FF-012</t>
  </si>
  <si>
    <t>FF-013</t>
  </si>
  <si>
    <t>FF-014</t>
  </si>
  <si>
    <t>FF-015</t>
  </si>
  <si>
    <t>FF-016</t>
  </si>
  <si>
    <t>FF-017</t>
  </si>
  <si>
    <t>FF-018</t>
  </si>
  <si>
    <t>FF-019</t>
  </si>
  <si>
    <t>FF-020</t>
  </si>
  <si>
    <t>FF-021</t>
  </si>
  <si>
    <t>غرفة غسيل</t>
  </si>
  <si>
    <t>بوفية</t>
  </si>
  <si>
    <t>حمام</t>
  </si>
  <si>
    <t>مكتب فريق الصيانة</t>
  </si>
  <si>
    <t>سكرتير المشرف العام</t>
  </si>
  <si>
    <t>مكتب المشرف العام</t>
  </si>
  <si>
    <t>غرفة اجتماعات</t>
  </si>
  <si>
    <t>مكتب مدير الادراة</t>
  </si>
  <si>
    <t>مكتب مدير مشروع خدمة العملاء</t>
  </si>
  <si>
    <t>مكتب مقاول خدمة العملاء</t>
  </si>
  <si>
    <t>مخزن النظافة</t>
  </si>
  <si>
    <t>استراحة مغسلين</t>
  </si>
  <si>
    <t>مخزن</t>
  </si>
  <si>
    <t>غرفة تغيير ملابس</t>
  </si>
  <si>
    <t>مكتب مشرف وردية التجهيز</t>
  </si>
  <si>
    <t>مبيت مغسلين رجال</t>
  </si>
  <si>
    <t>مكتب ادارة المقبرة</t>
  </si>
  <si>
    <t>غرفة المراقبة</t>
  </si>
  <si>
    <t>IT</t>
  </si>
  <si>
    <t>مكتب مدير مقاول التشغيل والصيانة</t>
  </si>
  <si>
    <t>قاعة تدريب وتجهيز رجال</t>
  </si>
  <si>
    <t>مكتب ادارة الطلبات</t>
  </si>
  <si>
    <t>قاعة تدريب وتجهيز نساء</t>
  </si>
  <si>
    <t>مكتب مقاول التشغيل والصيانة</t>
  </si>
  <si>
    <t>مكتب استقبال التبرعات</t>
  </si>
  <si>
    <t>مكتب مشرف البقيع</t>
  </si>
  <si>
    <t>مبيت مغسلين نساء</t>
  </si>
  <si>
    <t>FF-022</t>
  </si>
  <si>
    <t>FF-023</t>
  </si>
  <si>
    <t>FF-024</t>
  </si>
  <si>
    <t>FF-025</t>
  </si>
  <si>
    <t>FF-026</t>
  </si>
  <si>
    <t>FF-027</t>
  </si>
  <si>
    <t>FF-028</t>
  </si>
  <si>
    <t>FF-029</t>
  </si>
  <si>
    <t>FF-030</t>
  </si>
  <si>
    <t>FF-031</t>
  </si>
  <si>
    <t>FF-033</t>
  </si>
  <si>
    <t>FF-034</t>
  </si>
  <si>
    <t>FF-035</t>
  </si>
  <si>
    <t>FF-036</t>
  </si>
  <si>
    <t>FF-037</t>
  </si>
  <si>
    <t>FF-038</t>
  </si>
  <si>
    <t>FF-039</t>
  </si>
  <si>
    <t>FF-040</t>
  </si>
  <si>
    <t>Washers Resting Area</t>
  </si>
  <si>
    <t>Buffet</t>
  </si>
  <si>
    <t>Bathroom</t>
  </si>
  <si>
    <t>Maintenance Team Office</t>
  </si>
  <si>
    <t>General Supervisor's Secretary</t>
  </si>
  <si>
    <t>General Supervisor's Office</t>
  </si>
  <si>
    <t>Meeting Room</t>
  </si>
  <si>
    <t>Administration Manager's Office</t>
  </si>
  <si>
    <t>Customer Service Project Manager's Office</t>
  </si>
  <si>
    <t>Customer Service Contractor's Office</t>
  </si>
  <si>
    <t>Hygiene Store</t>
  </si>
  <si>
    <t>Changing Room</t>
  </si>
  <si>
    <t>Men's Washers Dormitory</t>
  </si>
  <si>
    <t>Cemetery Management Office</t>
  </si>
  <si>
    <t>Monitoring Room</t>
  </si>
  <si>
    <t>Operational and Maintenance Contractor Manager's Office</t>
  </si>
  <si>
    <t>Men's Training and Preparation Hall</t>
  </si>
  <si>
    <t>Order Management Office</t>
  </si>
  <si>
    <t>Women's Training and Preparation Hall</t>
  </si>
  <si>
    <t>Operations and Maintenance Contractor's Office</t>
  </si>
  <si>
    <t>Donations Reception Office</t>
  </si>
  <si>
    <t>Al-Baqi' Supervisor's Office</t>
  </si>
  <si>
    <t>Women's Washers Dormitory</t>
  </si>
  <si>
    <t>Preparation Shift Supervisor's Office</t>
  </si>
  <si>
    <t>Meeting room</t>
  </si>
  <si>
    <t>Bedroom</t>
  </si>
  <si>
    <t>Locker room</t>
  </si>
  <si>
    <t>Lobby</t>
  </si>
  <si>
    <t>GF-065</t>
  </si>
  <si>
    <t>GF-064</t>
  </si>
  <si>
    <t>Circulation Area</t>
  </si>
  <si>
    <t>GF-066</t>
  </si>
  <si>
    <t>GF-067</t>
  </si>
  <si>
    <t>Main Entrance Hall</t>
  </si>
  <si>
    <t>GF-018-D</t>
  </si>
  <si>
    <t>GF-018-E</t>
  </si>
  <si>
    <t>ACH</t>
  </si>
  <si>
    <t>EXHAUST AIR</t>
  </si>
  <si>
    <t>L/S/Unit</t>
  </si>
  <si>
    <t># of Unit</t>
  </si>
  <si>
    <t>Rounded L/S</t>
  </si>
  <si>
    <t>Trash</t>
  </si>
  <si>
    <t>Cemetary  Main Building- Cooling Load Summary</t>
  </si>
  <si>
    <t>rounded L/S</t>
  </si>
  <si>
    <t>SB-001</t>
  </si>
  <si>
    <t>Washing and Shrouding Room for Decomposed Corpses</t>
  </si>
  <si>
    <t>غرفة غسيل  وتكفين الوفيات المتحللة</t>
  </si>
  <si>
    <t>Public Assembly Space</t>
  </si>
  <si>
    <t>SB-002</t>
  </si>
  <si>
    <t>SB-003</t>
  </si>
  <si>
    <t>Mortuary Refrigirator</t>
  </si>
  <si>
    <t>ثلاجة الموتي</t>
  </si>
  <si>
    <t>SB-004</t>
  </si>
  <si>
    <t>Equipment Maintenance Workshop</t>
  </si>
  <si>
    <t>ورشة صيانة المعدات</t>
  </si>
  <si>
    <t>SB-005</t>
  </si>
  <si>
    <t>غرفة غسيل الشراشف</t>
  </si>
  <si>
    <t>SB-006</t>
  </si>
  <si>
    <t>Excavator Workers Toilet</t>
  </si>
  <si>
    <t>دورة مياه عمال الحفر</t>
  </si>
  <si>
    <t>SB-007</t>
  </si>
  <si>
    <t>Excavator Workers Resting Area</t>
  </si>
  <si>
    <t>استراحة عمال الحفر</t>
  </si>
  <si>
    <t>SB-008</t>
  </si>
  <si>
    <t xml:space="preserve">Main Warehouse for Processing Materials </t>
  </si>
  <si>
    <t>مستودع رئيسي لمواد التجهيز</t>
  </si>
  <si>
    <t>SB-009</t>
  </si>
  <si>
    <t>Al-Baqi' Equipement Warehouse</t>
  </si>
  <si>
    <t>مخزن معدات البقيع</t>
  </si>
  <si>
    <t>SB-010</t>
  </si>
  <si>
    <t>Water Bottle Cooling Room</t>
  </si>
  <si>
    <t>غرفة تبريد عبوات مياه الشرب</t>
  </si>
  <si>
    <t>Service Building- Cooling Load Summary</t>
  </si>
  <si>
    <t>Exhaust Air</t>
  </si>
  <si>
    <t>Group-1</t>
  </si>
  <si>
    <t>Space Pressurization</t>
  </si>
  <si>
    <t>Group 2</t>
  </si>
  <si>
    <t>Group 3</t>
  </si>
  <si>
    <t>L/S/Unit or meter</t>
  </si>
  <si>
    <t>Group 4</t>
  </si>
  <si>
    <t>Group 5</t>
  </si>
  <si>
    <t>Group 6</t>
  </si>
  <si>
    <t>Group 7</t>
  </si>
  <si>
    <t>Group 8</t>
  </si>
  <si>
    <t>Group 9</t>
  </si>
  <si>
    <t>Group 10</t>
  </si>
  <si>
    <t>FF-001</t>
  </si>
  <si>
    <t>ACH BETWEEN 03 AND 0..8</t>
  </si>
  <si>
    <t>ACH VALUE</t>
  </si>
  <si>
    <t>Transfer</t>
  </si>
  <si>
    <t xml:space="preserve">Exhaust </t>
  </si>
  <si>
    <t>Pressurization</t>
  </si>
  <si>
    <t>FCU SELECTION</t>
  </si>
  <si>
    <t>FXSQ80A</t>
  </si>
  <si>
    <t>FXSQ100A</t>
  </si>
  <si>
    <t>FXSQ50A</t>
  </si>
  <si>
    <t>FXSQ63A</t>
  </si>
  <si>
    <t>FXSQ40A</t>
  </si>
  <si>
    <t>FXSQ20A</t>
  </si>
  <si>
    <t>FXSQ25A</t>
  </si>
  <si>
    <t>FXSQ140A</t>
  </si>
  <si>
    <t>Quantity</t>
  </si>
  <si>
    <t>Sensible Cooling Load per FCU</t>
  </si>
  <si>
    <t>Selected Sensible Load</t>
  </si>
  <si>
    <t>Unit Name</t>
  </si>
  <si>
    <t>FXSQ32A</t>
  </si>
  <si>
    <t>FXSQ125A</t>
  </si>
  <si>
    <t xml:space="preserve"> Air Flow L/s </t>
  </si>
  <si>
    <t xml:space="preserve"> Capacity at at 24C / 17C WB SL KW</t>
  </si>
  <si>
    <t>With Corridor GF-016</t>
  </si>
  <si>
    <t>`</t>
  </si>
  <si>
    <t>Served By RTU-01</t>
  </si>
  <si>
    <t>Served By RTU-02</t>
  </si>
  <si>
    <t>VRV-GF-01</t>
  </si>
  <si>
    <t>VRV-GF-Common Areas</t>
  </si>
  <si>
    <t>VRV-GF-02</t>
  </si>
  <si>
    <t>VRV-1F-01</t>
  </si>
  <si>
    <t>VRV-1F-02</t>
  </si>
  <si>
    <t>VRV-1F-Common Areas</t>
  </si>
  <si>
    <t>Btu/hr/ sqm</t>
  </si>
  <si>
    <t>with GF-016 Waiting Room</t>
  </si>
  <si>
    <t>Supply L/S</t>
  </si>
  <si>
    <t>Return 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</si>
</sst>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/>
    <xf numFmtId="0" fontId="0" fillId="4" borderId="14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12" xfId="0" applyFont="1" applyFill="1" applyBorder="1" applyAlignment="1">
      <alignment horizontal="left" vertical="center" wrapText="1"/>
    </xf>
    <xf numFmtId="0" fontId="0" fillId="4" borderId="14" xfId="0" applyFill="1" applyBorder="1"/>
    <xf numFmtId="0" fontId="0" fillId="0" borderId="5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2" borderId="42" xfId="0" applyFont="1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4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1" fillId="3" borderId="36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1" fontId="0" fillId="4" borderId="22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6" xfId="0" applyBorder="1"/>
    <xf numFmtId="0" fontId="0" fillId="0" borderId="13" xfId="0" applyBorder="1"/>
    <xf numFmtId="0" fontId="0" fillId="0" borderId="18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4" borderId="49" xfId="0" applyFill="1" applyBorder="1" applyAlignment="1">
      <alignment horizontal="center"/>
    </xf>
    <xf numFmtId="2" fontId="0" fillId="4" borderId="19" xfId="0" applyNumberFormat="1" applyFill="1" applyBorder="1" applyAlignment="1">
      <alignment horizontal="center" vertical="center"/>
    </xf>
    <xf numFmtId="164" fontId="0" fillId="4" borderId="50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2" borderId="14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3" xfId="0" applyBorder="1" applyAlignment="1">
      <alignment horizontal="center"/>
    </xf>
    <xf numFmtId="1" fontId="1" fillId="3" borderId="59" xfId="0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1" fontId="1" fillId="3" borderId="33" xfId="0" applyNumberFormat="1" applyFont="1" applyFill="1" applyBorder="1" applyAlignment="1">
      <alignment horizontal="center" vertical="center"/>
    </xf>
    <xf numFmtId="1" fontId="1" fillId="3" borderId="35" xfId="0" applyNumberFormat="1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54" xfId="0" applyFont="1" applyFill="1" applyBorder="1" applyAlignment="1">
      <alignment vertic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69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/>
    <xf numFmtId="0" fontId="0" fillId="0" borderId="70" xfId="0" applyBorder="1"/>
    <xf numFmtId="0" fontId="0" fillId="0" borderId="70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0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" fontId="1" fillId="3" borderId="58" xfId="0" applyNumberFormat="1" applyFont="1" applyFill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5" borderId="5" xfId="0" applyFill="1" applyBorder="1"/>
    <xf numFmtId="0" fontId="1" fillId="3" borderId="1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center" vertical="center"/>
    </xf>
    <xf numFmtId="1" fontId="1" fillId="3" borderId="28" xfId="0" applyNumberFormat="1" applyFon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0" fillId="4" borderId="48" xfId="0" applyNumberFormat="1" applyFill="1" applyBorder="1" applyAlignment="1">
      <alignment horizontal="center"/>
    </xf>
    <xf numFmtId="164" fontId="0" fillId="4" borderId="46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164" fontId="0" fillId="0" borderId="5" xfId="0" applyNumberFormat="1" applyBorder="1" applyAlignment="1">
      <alignment horizontal="right"/>
    </xf>
    <xf numFmtId="164" fontId="0" fillId="4" borderId="5" xfId="0" applyNumberForma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6" xfId="0" applyBorder="1" applyAlignment="1">
      <alignment horizontal="right"/>
    </xf>
    <xf numFmtId="164" fontId="0" fillId="0" borderId="46" xfId="0" applyNumberFormat="1" applyBorder="1" applyAlignment="1">
      <alignment horizontal="right"/>
    </xf>
    <xf numFmtId="164" fontId="0" fillId="4" borderId="46" xfId="0" applyNumberFormat="1" applyFill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4" borderId="14" xfId="0" applyNumberFormat="1" applyFill="1" applyBorder="1" applyAlignment="1">
      <alignment horizontal="right"/>
    </xf>
    <xf numFmtId="1" fontId="1" fillId="3" borderId="73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horizontal="center"/>
    </xf>
    <xf numFmtId="0" fontId="0" fillId="6" borderId="74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3" borderId="22" xfId="0" applyNumberFormat="1" applyFont="1" applyFill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1" fontId="1" fillId="3" borderId="32" xfId="0" applyNumberFormat="1" applyFont="1" applyFill="1" applyBorder="1" applyAlignment="1">
      <alignment horizontal="center" vertical="center"/>
    </xf>
    <xf numFmtId="1" fontId="1" fillId="3" borderId="30" xfId="0" applyNumberFormat="1" applyFont="1" applyFill="1" applyBorder="1" applyAlignment="1">
      <alignment horizontal="center" vertical="center"/>
    </xf>
    <xf numFmtId="1" fontId="1" fillId="3" borderId="33" xfId="0" applyNumberFormat="1" applyFont="1" applyFill="1" applyBorder="1" applyAlignment="1">
      <alignment horizontal="center" vertical="center"/>
    </xf>
    <xf numFmtId="1" fontId="1" fillId="3" borderId="34" xfId="0" applyNumberFormat="1" applyFont="1" applyFill="1" applyBorder="1" applyAlignment="1">
      <alignment horizontal="center" vertical="center"/>
    </xf>
    <xf numFmtId="1" fontId="1" fillId="3" borderId="36" xfId="0" applyNumberFormat="1" applyFont="1" applyFill="1" applyBorder="1" applyAlignment="1">
      <alignment horizontal="center" vertical="center"/>
    </xf>
    <xf numFmtId="1" fontId="1" fillId="3" borderId="35" xfId="0" applyNumberFormat="1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1" fontId="1" fillId="3" borderId="20" xfId="0" applyNumberFormat="1" applyFont="1" applyFill="1" applyBorder="1" applyAlignment="1">
      <alignment horizontal="center" vertical="center"/>
    </xf>
    <xf numFmtId="1" fontId="1" fillId="3" borderId="37" xfId="0" applyNumberFormat="1" applyFont="1" applyFill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center" vertical="center"/>
    </xf>
    <xf numFmtId="1" fontId="1" fillId="3" borderId="28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3" borderId="9" xfId="0" applyNumberFormat="1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1" fontId="1" fillId="3" borderId="22" xfId="0" applyNumberFormat="1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164" fontId="1" fillId="3" borderId="21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1" fontId="1" fillId="3" borderId="73" xfId="0" applyNumberFormat="1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1" fontId="1" fillId="3" borderId="69" xfId="0" applyNumberFormat="1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tani\Desktop\work\hvac%20from%20lynn\HVAC%20COOLING%20LOAD%20DATA%20SHEET-Ashrae%20Requirements.xlsx" TargetMode="External"/><Relationship Id="rId1" Type="http://schemas.openxmlformats.org/officeDocument/2006/relationships/externalLinkPath" Target="file:///C:\Users\aitani\Desktop\work\hvac%20from%20lynn\HVAC%20COOLING%20LOAD%20DATA%20SHEET-Ashrae%20Requi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"/>
      <sheetName val="MB"/>
      <sheetName val="Data"/>
      <sheetName val="Sheet2"/>
    </sheetNames>
    <sheetDataSet>
      <sheetData sheetId="0"/>
      <sheetData sheetId="1"/>
      <sheetData sheetId="2"/>
      <sheetData sheetId="3">
        <row r="2">
          <cell r="D2">
            <v>1.5</v>
          </cell>
        </row>
        <row r="3">
          <cell r="D3">
            <v>1.8</v>
          </cell>
        </row>
        <row r="4">
          <cell r="D4">
            <v>2.4</v>
          </cell>
        </row>
        <row r="5">
          <cell r="D5">
            <v>3</v>
          </cell>
        </row>
        <row r="6">
          <cell r="D6">
            <v>3.7</v>
          </cell>
        </row>
        <row r="7">
          <cell r="D7">
            <v>4.5999999999999996</v>
          </cell>
        </row>
        <row r="8">
          <cell r="D8">
            <v>5.8</v>
          </cell>
        </row>
        <row r="9">
          <cell r="D9">
            <v>7.4</v>
          </cell>
        </row>
        <row r="10">
          <cell r="D10">
            <v>9.1</v>
          </cell>
        </row>
        <row r="11">
          <cell r="D11">
            <v>10.5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8"/>
  <sheetViews>
    <sheetView topLeftCell="G1" zoomScale="103" zoomScaleNormal="145" workbookViewId="0">
      <selection activeCell="I23" sqref="I23"/>
    </sheetView>
  </sheetViews>
  <sheetFormatPr defaultRowHeight="14.4" x14ac:dyDescent="0.3"/>
  <cols>
    <col min="1" max="1" width="22.5546875" bestFit="1" customWidth="1"/>
    <col min="2" max="2" width="8.88671875" style="1"/>
    <col min="3" max="3" width="10.88671875" customWidth="1"/>
    <col min="4" max="4" width="47.6640625" customWidth="1"/>
    <col min="5" max="5" width="27.33203125" customWidth="1"/>
    <col min="6" max="6" width="5.5546875" style="1" bestFit="1" customWidth="1"/>
    <col min="7" max="7" width="7.33203125" style="1" customWidth="1"/>
    <col min="8" max="8" width="13.5546875" style="1" bestFit="1" customWidth="1"/>
    <col min="9" max="9" width="13.5546875" style="1" customWidth="1"/>
    <col min="10" max="10" width="7.33203125" style="1" customWidth="1"/>
    <col min="11" max="11" width="18.6640625" style="1" hidden="1" customWidth="1"/>
    <col min="12" max="12" width="8.5546875" style="1" hidden="1" customWidth="1"/>
    <col min="13" max="13" width="7.5546875" style="1" hidden="1" customWidth="1"/>
    <col min="14" max="14" width="7.33203125" style="1" hidden="1" customWidth="1"/>
    <col min="15" max="15" width="8.33203125" hidden="1" customWidth="1"/>
    <col min="16" max="16" width="9.6640625" style="1" hidden="1" customWidth="1"/>
    <col min="17" max="17" width="6.6640625" style="1" bestFit="1" customWidth="1"/>
    <col min="18" max="19" width="7.109375" style="1" customWidth="1"/>
    <col min="20" max="20" width="6.44140625" style="1" customWidth="1"/>
    <col min="21" max="25" width="10" style="1" customWidth="1"/>
    <col min="26" max="26" width="5.44140625" style="1" customWidth="1"/>
    <col min="27" max="27" width="6.33203125" style="1" customWidth="1"/>
    <col min="28" max="28" width="6.44140625" style="1" customWidth="1"/>
    <col min="29" max="29" width="7.44140625" style="1" customWidth="1"/>
    <col min="30" max="30" width="7.33203125" style="1" bestFit="1" customWidth="1"/>
    <col min="31" max="32" width="5.88671875" style="1" customWidth="1"/>
    <col min="33" max="33" width="7.109375" style="1" customWidth="1"/>
    <col min="34" max="34" width="8.44140625" style="1" customWidth="1"/>
    <col min="35" max="35" width="8.109375" style="1" customWidth="1"/>
    <col min="36" max="36" width="5.44140625" style="1" bestFit="1" customWidth="1"/>
    <col min="37" max="37" width="6" style="1" bestFit="1" customWidth="1"/>
    <col min="38" max="38" width="5.33203125" style="1" bestFit="1" customWidth="1"/>
    <col min="39" max="39" width="5.88671875" style="1" bestFit="1" customWidth="1"/>
    <col min="40" max="41" width="7.6640625" style="1" customWidth="1"/>
    <col min="42" max="42" width="12.109375" style="1" customWidth="1"/>
    <col min="43" max="44" width="9.6640625" bestFit="1" customWidth="1"/>
  </cols>
  <sheetData>
    <row r="1" spans="1:43" ht="42" customHeight="1" thickBot="1" x14ac:dyDescent="0.35">
      <c r="B1" s="192" t="s">
        <v>332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4"/>
      <c r="R1" s="194"/>
      <c r="S1" s="194"/>
      <c r="T1" s="194"/>
      <c r="U1" s="194"/>
      <c r="V1" s="194"/>
      <c r="W1" s="194"/>
      <c r="X1" s="194"/>
      <c r="Y1" s="194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5"/>
    </row>
    <row r="2" spans="1:43" s="24" customFormat="1" ht="27" customHeight="1" x14ac:dyDescent="0.3">
      <c r="B2" s="163" t="s">
        <v>11</v>
      </c>
      <c r="C2" s="164"/>
      <c r="D2" s="164"/>
      <c r="E2" s="196"/>
      <c r="F2" s="196"/>
      <c r="G2" s="196"/>
      <c r="H2" s="197" t="s">
        <v>12</v>
      </c>
      <c r="I2" s="198"/>
      <c r="J2" s="199"/>
      <c r="K2" s="200" t="s">
        <v>40</v>
      </c>
      <c r="L2" s="201"/>
      <c r="M2" s="201"/>
      <c r="N2" s="202"/>
      <c r="O2" s="203" t="s">
        <v>14</v>
      </c>
      <c r="P2" s="196"/>
      <c r="Q2" s="163" t="s">
        <v>17</v>
      </c>
      <c r="R2" s="164"/>
      <c r="S2" s="164"/>
      <c r="T2" s="164"/>
      <c r="U2" s="196"/>
      <c r="V2" s="163" t="s">
        <v>333</v>
      </c>
      <c r="W2" s="164"/>
      <c r="X2" s="164"/>
      <c r="Y2" s="165"/>
      <c r="Z2" s="203" t="s">
        <v>21</v>
      </c>
      <c r="AA2" s="164"/>
      <c r="AB2" s="196"/>
      <c r="AC2" s="165"/>
      <c r="AD2" s="163" t="s">
        <v>22</v>
      </c>
      <c r="AE2" s="198"/>
      <c r="AF2" s="165"/>
      <c r="AG2" s="203" t="s">
        <v>30</v>
      </c>
      <c r="AH2" s="164"/>
      <c r="AI2" s="164"/>
      <c r="AJ2" s="164"/>
      <c r="AK2" s="164"/>
      <c r="AL2" s="164"/>
      <c r="AM2" s="164"/>
      <c r="AN2" s="164"/>
      <c r="AO2" s="164"/>
      <c r="AP2" s="165"/>
    </row>
    <row r="3" spans="1:43" ht="38.4" customHeight="1" thickBot="1" x14ac:dyDescent="0.35">
      <c r="A3" t="s">
        <v>41</v>
      </c>
      <c r="B3" s="7" t="s">
        <v>7</v>
      </c>
      <c r="C3" s="8" t="s">
        <v>5</v>
      </c>
      <c r="D3" s="4" t="s">
        <v>6</v>
      </c>
      <c r="E3" s="25"/>
      <c r="F3" s="5" t="s">
        <v>13</v>
      </c>
      <c r="G3" s="5" t="s">
        <v>36</v>
      </c>
      <c r="H3" s="10" t="s">
        <v>107</v>
      </c>
      <c r="I3" s="40" t="s">
        <v>108</v>
      </c>
      <c r="J3" s="11" t="s">
        <v>35</v>
      </c>
      <c r="K3" s="10" t="s">
        <v>41</v>
      </c>
      <c r="L3" s="8" t="s">
        <v>42</v>
      </c>
      <c r="M3" s="8" t="s">
        <v>43</v>
      </c>
      <c r="N3" s="11" t="s">
        <v>35</v>
      </c>
      <c r="O3" s="6" t="s">
        <v>15</v>
      </c>
      <c r="P3" s="5" t="s">
        <v>16</v>
      </c>
      <c r="Q3" s="58" t="s">
        <v>33</v>
      </c>
      <c r="R3" s="55" t="s">
        <v>34</v>
      </c>
      <c r="S3" s="55" t="s">
        <v>296</v>
      </c>
      <c r="T3" s="55" t="s">
        <v>18</v>
      </c>
      <c r="U3" s="76" t="s">
        <v>303</v>
      </c>
      <c r="V3" s="7" t="s">
        <v>298</v>
      </c>
      <c r="W3" s="8" t="s">
        <v>299</v>
      </c>
      <c r="X3" s="8" t="s">
        <v>18</v>
      </c>
      <c r="Y3" s="9" t="s">
        <v>300</v>
      </c>
      <c r="Z3" s="6" t="s">
        <v>37</v>
      </c>
      <c r="AA3" s="8" t="s">
        <v>20</v>
      </c>
      <c r="AB3" s="5" t="s">
        <v>23</v>
      </c>
      <c r="AC3" s="9" t="s">
        <v>24</v>
      </c>
      <c r="AD3" s="7" t="s">
        <v>19</v>
      </c>
      <c r="AE3" s="5" t="s">
        <v>23</v>
      </c>
      <c r="AF3" s="9" t="s">
        <v>23</v>
      </c>
      <c r="AG3" s="6" t="s">
        <v>24</v>
      </c>
      <c r="AH3" s="8" t="s">
        <v>25</v>
      </c>
      <c r="AI3" s="8" t="s">
        <v>18</v>
      </c>
      <c r="AJ3" s="8" t="s">
        <v>26</v>
      </c>
      <c r="AK3" s="8" t="s">
        <v>27</v>
      </c>
      <c r="AL3" s="8" t="s">
        <v>28</v>
      </c>
      <c r="AM3" s="8" t="s">
        <v>29</v>
      </c>
      <c r="AN3" s="8" t="s">
        <v>32</v>
      </c>
      <c r="AO3" s="8" t="s">
        <v>37</v>
      </c>
      <c r="AP3" s="9" t="s">
        <v>10</v>
      </c>
    </row>
    <row r="4" spans="1:43" x14ac:dyDescent="0.3">
      <c r="A4" t="s">
        <v>111</v>
      </c>
      <c r="B4" s="3">
        <v>1</v>
      </c>
      <c r="C4" s="59" t="s">
        <v>304</v>
      </c>
      <c r="D4" s="59" t="s">
        <v>305</v>
      </c>
      <c r="E4" s="60" t="s">
        <v>306</v>
      </c>
      <c r="F4" s="34">
        <v>20</v>
      </c>
      <c r="G4" s="61">
        <f>F4</f>
        <v>20</v>
      </c>
      <c r="H4" s="62">
        <v>2</v>
      </c>
      <c r="J4" s="61">
        <f t="shared" ref="J4:J11" si="0">H4</f>
        <v>2</v>
      </c>
      <c r="K4" s="62" t="s">
        <v>307</v>
      </c>
      <c r="L4" s="63" t="s">
        <v>44</v>
      </c>
      <c r="M4" s="63" t="e">
        <v>#N/A</v>
      </c>
      <c r="N4" s="61">
        <v>0</v>
      </c>
      <c r="O4" s="64">
        <v>22</v>
      </c>
      <c r="P4" s="34">
        <v>50</v>
      </c>
      <c r="Q4" s="33">
        <f>VLOOKUP(A4,Data!A:D,4,FALSE)</f>
        <v>0</v>
      </c>
      <c r="R4" s="2">
        <f>VLOOKUP(A4,Data!A:C,3,FALSE)</f>
        <v>0</v>
      </c>
      <c r="S4" s="2">
        <v>2</v>
      </c>
      <c r="T4" s="2">
        <f>S4*F4*3/3.6</f>
        <v>33.333333333333336</v>
      </c>
      <c r="U4" s="31">
        <f>CEILING(T4,5)</f>
        <v>35</v>
      </c>
      <c r="V4" s="56"/>
      <c r="W4" s="63"/>
      <c r="X4" s="63">
        <f>T4/0.85</f>
        <v>39.215686274509807</v>
      </c>
      <c r="Y4" s="56">
        <f>CEILING(X4,5)</f>
        <v>40</v>
      </c>
      <c r="Z4" s="3">
        <v>0</v>
      </c>
      <c r="AA4" s="63">
        <v>0</v>
      </c>
      <c r="AB4" s="35">
        <f t="shared" ref="AB4:AB13" si="1">(Z4*F4+AA4)/1000</f>
        <v>0</v>
      </c>
      <c r="AC4" s="65">
        <f>AB4</f>
        <v>0</v>
      </c>
      <c r="AD4" s="3">
        <f>VLOOKUP(A4,Data!A:F,6,FALSE)</f>
        <v>10</v>
      </c>
      <c r="AE4" s="35">
        <f t="shared" ref="AE4:AE13" si="2">AD4*F4/1000</f>
        <v>0.2</v>
      </c>
      <c r="AF4" s="65">
        <f>AE4</f>
        <v>0.2</v>
      </c>
      <c r="AG4" s="66"/>
      <c r="AH4" s="67"/>
      <c r="AI4" s="68">
        <v>2850</v>
      </c>
      <c r="AJ4" s="67">
        <v>23.3</v>
      </c>
      <c r="AK4" s="67">
        <v>16.5</v>
      </c>
      <c r="AL4" s="67">
        <v>13</v>
      </c>
      <c r="AM4" s="67">
        <v>12.4</v>
      </c>
      <c r="AN4" s="67">
        <f t="shared" ref="AN4:AN14" si="3">AI4/G4</f>
        <v>142.5</v>
      </c>
      <c r="AO4" s="69">
        <f t="shared" ref="AO4:AO14" si="4">AG4/G4*1000</f>
        <v>0</v>
      </c>
      <c r="AP4" s="61" t="s">
        <v>0</v>
      </c>
    </row>
    <row r="5" spans="1:43" ht="15" customHeight="1" x14ac:dyDescent="0.3">
      <c r="A5" t="s">
        <v>111</v>
      </c>
      <c r="B5" s="3">
        <v>2</v>
      </c>
      <c r="C5" s="13" t="s">
        <v>308</v>
      </c>
      <c r="D5" s="13" t="s">
        <v>305</v>
      </c>
      <c r="E5" s="26" t="s">
        <v>306</v>
      </c>
      <c r="F5" s="14">
        <v>20</v>
      </c>
      <c r="G5" s="52">
        <f t="shared" ref="G5:G13" si="5">F5</f>
        <v>20</v>
      </c>
      <c r="H5" s="15">
        <v>2</v>
      </c>
      <c r="I5" s="70"/>
      <c r="J5" s="52">
        <f t="shared" si="0"/>
        <v>2</v>
      </c>
      <c r="K5" s="15">
        <v>0</v>
      </c>
      <c r="L5" s="17">
        <v>0</v>
      </c>
      <c r="M5" s="17" t="e">
        <v>#N/A</v>
      </c>
      <c r="N5" s="52">
        <f>K5</f>
        <v>0</v>
      </c>
      <c r="O5" s="16">
        <v>22</v>
      </c>
      <c r="P5" s="14">
        <v>51</v>
      </c>
      <c r="Q5" s="12">
        <f>VLOOKUP(A5,Data!A:D,4,FALSE)</f>
        <v>0</v>
      </c>
      <c r="R5" s="17">
        <f>VLOOKUP(A5,Data!A:C,3,FALSE)</f>
        <v>0</v>
      </c>
      <c r="S5" s="17">
        <v>2</v>
      </c>
      <c r="T5" s="17">
        <f t="shared" ref="T5:T6" si="6">S5*F5*3/3.6</f>
        <v>33.333333333333336</v>
      </c>
      <c r="U5" s="19">
        <f t="shared" ref="U5:U13" si="7">CEILING(T5,5)</f>
        <v>35</v>
      </c>
      <c r="V5" s="41"/>
      <c r="W5" s="17"/>
      <c r="X5" s="17">
        <f t="shared" ref="X5:X6" si="8">T5/0.85</f>
        <v>39.215686274509807</v>
      </c>
      <c r="Y5" s="41">
        <f t="shared" ref="Y5:Y13" si="9">CEILING(X5,5)</f>
        <v>40</v>
      </c>
      <c r="Z5" s="12">
        <v>0</v>
      </c>
      <c r="AA5" s="17">
        <v>2700</v>
      </c>
      <c r="AB5" s="18">
        <f t="shared" si="1"/>
        <v>2.7</v>
      </c>
      <c r="AC5" s="71">
        <f>AB5</f>
        <v>2.7</v>
      </c>
      <c r="AD5" s="12">
        <f>VLOOKUP(A5,Data!A:F,6,FALSE)</f>
        <v>10</v>
      </c>
      <c r="AE5" s="18">
        <f t="shared" si="2"/>
        <v>0.2</v>
      </c>
      <c r="AF5" s="71">
        <f>AE5</f>
        <v>0.2</v>
      </c>
      <c r="AG5" s="72"/>
      <c r="AH5" s="53"/>
      <c r="AI5" s="73">
        <v>3900</v>
      </c>
      <c r="AJ5" s="53">
        <v>23.4</v>
      </c>
      <c r="AK5" s="53">
        <v>16.7</v>
      </c>
      <c r="AL5" s="53">
        <v>13</v>
      </c>
      <c r="AM5" s="53">
        <v>12.4</v>
      </c>
      <c r="AN5" s="53">
        <f t="shared" si="3"/>
        <v>195</v>
      </c>
      <c r="AO5" s="54">
        <f t="shared" si="4"/>
        <v>0</v>
      </c>
      <c r="AP5" s="52" t="s">
        <v>1</v>
      </c>
    </row>
    <row r="6" spans="1:43" x14ac:dyDescent="0.3">
      <c r="A6" t="s">
        <v>111</v>
      </c>
      <c r="B6" s="3">
        <v>3</v>
      </c>
      <c r="C6" s="27" t="s">
        <v>309</v>
      </c>
      <c r="D6" s="27" t="s">
        <v>310</v>
      </c>
      <c r="E6" s="28" t="s">
        <v>311</v>
      </c>
      <c r="F6" s="29">
        <f>5*8.7</f>
        <v>43.5</v>
      </c>
      <c r="G6" s="29">
        <f t="shared" si="5"/>
        <v>43.5</v>
      </c>
      <c r="H6" s="30"/>
      <c r="I6" s="42"/>
      <c r="J6" s="31">
        <f t="shared" si="0"/>
        <v>0</v>
      </c>
      <c r="K6" s="30">
        <v>0</v>
      </c>
      <c r="L6" s="2">
        <v>0</v>
      </c>
      <c r="M6" s="2" t="e">
        <v>#N/A</v>
      </c>
      <c r="N6" s="31">
        <f>K6</f>
        <v>0</v>
      </c>
      <c r="O6" s="32">
        <v>26</v>
      </c>
      <c r="P6" s="29" t="s">
        <v>31</v>
      </c>
      <c r="Q6" s="33">
        <f>VLOOKUP(A6,Data!A:D,4,FALSE)</f>
        <v>0</v>
      </c>
      <c r="R6" s="2">
        <f>VLOOKUP(A6,Data!A:C,3,FALSE)</f>
        <v>0</v>
      </c>
      <c r="S6" s="2">
        <v>2</v>
      </c>
      <c r="T6" s="2">
        <f t="shared" si="6"/>
        <v>72.5</v>
      </c>
      <c r="U6" s="31">
        <f t="shared" si="7"/>
        <v>75</v>
      </c>
      <c r="V6" s="42"/>
      <c r="W6" s="2"/>
      <c r="X6" s="2">
        <f t="shared" si="8"/>
        <v>85.294117647058826</v>
      </c>
      <c r="Y6" s="42">
        <f t="shared" si="9"/>
        <v>90</v>
      </c>
      <c r="Z6" s="33">
        <v>50</v>
      </c>
      <c r="AA6" s="2">
        <v>0</v>
      </c>
      <c r="AB6" s="35">
        <f t="shared" si="1"/>
        <v>2.1749999999999998</v>
      </c>
      <c r="AC6" s="36">
        <f>AB6</f>
        <v>2.1749999999999998</v>
      </c>
      <c r="AD6" s="33">
        <f>VLOOKUP(A6,Data!A:F,6,FALSE)</f>
        <v>10</v>
      </c>
      <c r="AE6" s="35">
        <f t="shared" si="2"/>
        <v>0.435</v>
      </c>
      <c r="AF6" s="36">
        <f>AE6</f>
        <v>0.435</v>
      </c>
      <c r="AG6" s="37"/>
      <c r="AH6" s="38"/>
      <c r="AI6" s="2">
        <v>103</v>
      </c>
      <c r="AJ6" s="38">
        <v>24.8</v>
      </c>
      <c r="AK6" s="38">
        <v>8</v>
      </c>
      <c r="AL6" s="38">
        <v>12.5</v>
      </c>
      <c r="AM6" s="38">
        <v>1.7</v>
      </c>
      <c r="AN6" s="38">
        <f t="shared" si="3"/>
        <v>2.367816091954023</v>
      </c>
      <c r="AO6" s="39">
        <f t="shared" si="4"/>
        <v>0</v>
      </c>
      <c r="AP6" s="31" t="s">
        <v>2</v>
      </c>
    </row>
    <row r="7" spans="1:43" x14ac:dyDescent="0.3">
      <c r="A7" t="s">
        <v>171</v>
      </c>
      <c r="B7" s="3">
        <v>4</v>
      </c>
      <c r="C7" s="13" t="s">
        <v>312</v>
      </c>
      <c r="D7" s="13" t="s">
        <v>313</v>
      </c>
      <c r="E7" s="26" t="s">
        <v>314</v>
      </c>
      <c r="F7" s="14">
        <f>5*8.8</f>
        <v>44</v>
      </c>
      <c r="G7" s="14">
        <f t="shared" si="5"/>
        <v>44</v>
      </c>
      <c r="H7" s="15">
        <v>2</v>
      </c>
      <c r="I7" s="41"/>
      <c r="J7" s="19">
        <f t="shared" si="0"/>
        <v>2</v>
      </c>
      <c r="K7" s="15">
        <v>0</v>
      </c>
      <c r="L7" s="17">
        <v>0</v>
      </c>
      <c r="M7" s="17" t="e">
        <v>#N/A</v>
      </c>
      <c r="N7" s="19">
        <f t="shared" ref="N7:N13" si="10">K7</f>
        <v>0</v>
      </c>
      <c r="O7" s="16">
        <v>22</v>
      </c>
      <c r="P7" s="14" t="s">
        <v>31</v>
      </c>
      <c r="Q7" s="12">
        <f>VLOOKUP(A7,Data!A:D,4,FALSE)</f>
        <v>0</v>
      </c>
      <c r="R7" s="17">
        <f>VLOOKUP(A7,Data!A:C,3,FALSE)</f>
        <v>0.3</v>
      </c>
      <c r="S7" s="17"/>
      <c r="T7" s="17">
        <f>Q7*H7+R7*F7</f>
        <v>13.2</v>
      </c>
      <c r="U7" s="19">
        <f t="shared" si="7"/>
        <v>15</v>
      </c>
      <c r="V7" s="41"/>
      <c r="W7" s="17"/>
      <c r="X7" s="17">
        <f>T7*0.85</f>
        <v>11.219999999999999</v>
      </c>
      <c r="Y7" s="41">
        <v>10</v>
      </c>
      <c r="Z7" s="12">
        <v>0</v>
      </c>
      <c r="AA7" s="17">
        <v>250</v>
      </c>
      <c r="AB7" s="18">
        <f t="shared" si="1"/>
        <v>0.25</v>
      </c>
      <c r="AC7" s="20">
        <f t="shared" ref="AC7:AC13" si="11">AB7</f>
        <v>0.25</v>
      </c>
      <c r="AD7" s="12">
        <f>VLOOKUP(A7,Data!A:F,6,FALSE)</f>
        <v>10</v>
      </c>
      <c r="AE7" s="18">
        <f t="shared" si="2"/>
        <v>0.44</v>
      </c>
      <c r="AF7" s="20">
        <f t="shared" ref="AF7:AF13" si="12">AE7</f>
        <v>0.44</v>
      </c>
      <c r="AG7" s="21"/>
      <c r="AH7" s="22"/>
      <c r="AI7" s="17">
        <v>70</v>
      </c>
      <c r="AJ7" s="22">
        <v>22.8</v>
      </c>
      <c r="AK7" s="22">
        <v>16.899999999999999</v>
      </c>
      <c r="AL7" s="22">
        <v>13.6</v>
      </c>
      <c r="AM7" s="22">
        <v>13.1</v>
      </c>
      <c r="AN7" s="22">
        <f t="shared" si="3"/>
        <v>1.5909090909090908</v>
      </c>
      <c r="AO7" s="23">
        <f t="shared" si="4"/>
        <v>0</v>
      </c>
      <c r="AP7" s="19" t="s">
        <v>3</v>
      </c>
    </row>
    <row r="8" spans="1:43" x14ac:dyDescent="0.3">
      <c r="A8" t="s">
        <v>121</v>
      </c>
      <c r="B8" s="3">
        <v>5</v>
      </c>
      <c r="C8" s="27" t="s">
        <v>315</v>
      </c>
      <c r="D8" s="27" t="s">
        <v>65</v>
      </c>
      <c r="E8" s="28" t="s">
        <v>316</v>
      </c>
      <c r="F8" s="29">
        <f>4*6</f>
        <v>24</v>
      </c>
      <c r="G8" s="29">
        <f t="shared" si="5"/>
        <v>24</v>
      </c>
      <c r="H8" s="30"/>
      <c r="I8" s="42"/>
      <c r="J8" s="31">
        <f t="shared" si="0"/>
        <v>0</v>
      </c>
      <c r="K8" s="30">
        <v>0</v>
      </c>
      <c r="L8" s="2">
        <v>0</v>
      </c>
      <c r="M8" s="2" t="e">
        <v>#N/A</v>
      </c>
      <c r="N8" s="31">
        <f t="shared" si="10"/>
        <v>0</v>
      </c>
      <c r="O8" s="32">
        <v>22</v>
      </c>
      <c r="P8" s="29" t="s">
        <v>31</v>
      </c>
      <c r="Q8" s="33">
        <f>VLOOKUP(A8,Data!A:D,4,FALSE)</f>
        <v>0</v>
      </c>
      <c r="R8" s="2">
        <f>VLOOKUP(A8,Data!A:C,3,FALSE)</f>
        <v>0</v>
      </c>
      <c r="S8" s="2"/>
      <c r="T8" s="2">
        <f>Q8*H8+R8*F8</f>
        <v>0</v>
      </c>
      <c r="U8" s="31">
        <f t="shared" si="7"/>
        <v>0</v>
      </c>
      <c r="V8" s="42"/>
      <c r="W8" s="2"/>
      <c r="X8" s="2">
        <f>T8/0.85</f>
        <v>0</v>
      </c>
      <c r="Y8" s="42">
        <f t="shared" si="9"/>
        <v>0</v>
      </c>
      <c r="Z8" s="33">
        <v>0</v>
      </c>
      <c r="AA8" s="2">
        <v>250</v>
      </c>
      <c r="AB8" s="35">
        <f t="shared" si="1"/>
        <v>0.25</v>
      </c>
      <c r="AC8" s="36">
        <f t="shared" si="11"/>
        <v>0.25</v>
      </c>
      <c r="AD8" s="33">
        <f>VLOOKUP(A8,Data!A:F,6,FALSE)</f>
        <v>10</v>
      </c>
      <c r="AE8" s="35">
        <f t="shared" si="2"/>
        <v>0.24</v>
      </c>
      <c r="AF8" s="36">
        <f t="shared" si="12"/>
        <v>0.24</v>
      </c>
      <c r="AG8" s="37"/>
      <c r="AH8" s="38"/>
      <c r="AI8" s="2">
        <v>70</v>
      </c>
      <c r="AJ8" s="38">
        <v>22.8</v>
      </c>
      <c r="AK8" s="38">
        <v>16.899999999999999</v>
      </c>
      <c r="AL8" s="38">
        <v>13.6</v>
      </c>
      <c r="AM8" s="38">
        <v>13.1</v>
      </c>
      <c r="AN8" s="38">
        <f t="shared" si="3"/>
        <v>2.9166666666666665</v>
      </c>
      <c r="AO8" s="39">
        <f t="shared" si="4"/>
        <v>0</v>
      </c>
      <c r="AP8" s="31" t="s">
        <v>3</v>
      </c>
    </row>
    <row r="9" spans="1:43" s="75" customFormat="1" x14ac:dyDescent="0.3">
      <c r="A9" t="s">
        <v>110</v>
      </c>
      <c r="B9" s="3">
        <v>7</v>
      </c>
      <c r="C9" s="13" t="s">
        <v>317</v>
      </c>
      <c r="D9" s="13" t="s">
        <v>318</v>
      </c>
      <c r="E9" s="26" t="s">
        <v>319</v>
      </c>
      <c r="F9" s="14">
        <f>5*7.7</f>
        <v>38.5</v>
      </c>
      <c r="G9" s="14">
        <f t="shared" si="5"/>
        <v>38.5</v>
      </c>
      <c r="H9" s="15">
        <v>6</v>
      </c>
      <c r="I9" s="41"/>
      <c r="J9" s="19">
        <f t="shared" si="0"/>
        <v>6</v>
      </c>
      <c r="K9" s="15">
        <v>0</v>
      </c>
      <c r="L9" s="17">
        <v>0</v>
      </c>
      <c r="M9" s="17" t="e">
        <v>#N/A</v>
      </c>
      <c r="N9" s="19">
        <f t="shared" si="10"/>
        <v>0</v>
      </c>
      <c r="O9" s="16">
        <v>26</v>
      </c>
      <c r="P9" s="14" t="s">
        <v>31</v>
      </c>
      <c r="Q9" s="12">
        <f>VLOOKUP(A9,Data!A:D,4,FALSE)</f>
        <v>0</v>
      </c>
      <c r="R9" s="17">
        <f>VLOOKUP(A9,Data!A:C,3,FALSE)</f>
        <v>0</v>
      </c>
      <c r="S9" s="17"/>
      <c r="T9" s="17">
        <f>X9*0.85</f>
        <v>127.5</v>
      </c>
      <c r="U9" s="19">
        <f t="shared" si="7"/>
        <v>130</v>
      </c>
      <c r="V9" s="57">
        <v>25</v>
      </c>
      <c r="W9" s="17">
        <v>6</v>
      </c>
      <c r="X9" s="17">
        <f>W9*V9</f>
        <v>150</v>
      </c>
      <c r="Y9" s="16">
        <f t="shared" ref="Y9" si="13">CEILING(X9,1)</f>
        <v>150</v>
      </c>
      <c r="Z9" s="12">
        <v>50</v>
      </c>
      <c r="AA9" s="17">
        <v>0</v>
      </c>
      <c r="AB9" s="18">
        <f t="shared" si="1"/>
        <v>1.925</v>
      </c>
      <c r="AC9" s="20">
        <f t="shared" si="11"/>
        <v>1.925</v>
      </c>
      <c r="AD9" s="12">
        <f>VLOOKUP(A9,Data!A:F,6,FALSE)</f>
        <v>10</v>
      </c>
      <c r="AE9" s="18">
        <f t="shared" si="2"/>
        <v>0.38500000000000001</v>
      </c>
      <c r="AF9" s="20">
        <f t="shared" si="12"/>
        <v>0.38500000000000001</v>
      </c>
      <c r="AG9" s="21"/>
      <c r="AH9" s="22"/>
      <c r="AI9" s="17">
        <v>19</v>
      </c>
      <c r="AJ9" s="22">
        <v>24</v>
      </c>
      <c r="AK9" s="22">
        <v>7.7</v>
      </c>
      <c r="AL9" s="22">
        <v>11</v>
      </c>
      <c r="AM9" s="22">
        <v>0.8</v>
      </c>
      <c r="AN9" s="22">
        <f t="shared" si="3"/>
        <v>0.4935064935064935</v>
      </c>
      <c r="AO9" s="23">
        <f t="shared" si="4"/>
        <v>0</v>
      </c>
      <c r="AP9" s="19" t="s">
        <v>2</v>
      </c>
      <c r="AQ9" s="74"/>
    </row>
    <row r="10" spans="1:43" x14ac:dyDescent="0.3">
      <c r="A10" t="s">
        <v>112</v>
      </c>
      <c r="B10" s="3">
        <v>8</v>
      </c>
      <c r="C10" s="27" t="s">
        <v>320</v>
      </c>
      <c r="D10" s="27" t="s">
        <v>321</v>
      </c>
      <c r="E10" s="28" t="s">
        <v>322</v>
      </c>
      <c r="F10" s="29">
        <v>38.5</v>
      </c>
      <c r="G10" s="29">
        <f t="shared" si="5"/>
        <v>38.5</v>
      </c>
      <c r="H10" s="30">
        <v>17</v>
      </c>
      <c r="I10" s="42"/>
      <c r="J10" s="31">
        <f t="shared" si="0"/>
        <v>17</v>
      </c>
      <c r="K10" s="30">
        <v>0</v>
      </c>
      <c r="L10" s="2">
        <v>0</v>
      </c>
      <c r="M10" s="2" t="e">
        <v>#N/A</v>
      </c>
      <c r="N10" s="31">
        <f t="shared" si="10"/>
        <v>0</v>
      </c>
      <c r="O10" s="32">
        <v>22</v>
      </c>
      <c r="P10" s="29" t="s">
        <v>31</v>
      </c>
      <c r="Q10" s="33">
        <f>VLOOKUP(A10,Data!A:D,4,FALSE)</f>
        <v>3.8</v>
      </c>
      <c r="R10" s="2">
        <f>VLOOKUP(A10,Data!A:C,3,FALSE)</f>
        <v>0.3</v>
      </c>
      <c r="S10" s="2"/>
      <c r="T10" s="2">
        <f>Q10*H10+R10*F10</f>
        <v>76.149999999999991</v>
      </c>
      <c r="U10" s="31">
        <f t="shared" si="7"/>
        <v>80</v>
      </c>
      <c r="V10" s="42"/>
      <c r="W10" s="2"/>
      <c r="X10" s="2">
        <f>T10*0.85</f>
        <v>64.727499999999992</v>
      </c>
      <c r="Y10" s="42">
        <f t="shared" si="9"/>
        <v>65</v>
      </c>
      <c r="Z10" s="33">
        <v>0</v>
      </c>
      <c r="AA10" s="2">
        <v>250</v>
      </c>
      <c r="AB10" s="35">
        <f t="shared" si="1"/>
        <v>0.25</v>
      </c>
      <c r="AC10" s="36">
        <f t="shared" si="11"/>
        <v>0.25</v>
      </c>
      <c r="AD10" s="33">
        <f>VLOOKUP(A10,Data!A:F,6,FALSE)</f>
        <v>10</v>
      </c>
      <c r="AE10" s="35">
        <f t="shared" si="2"/>
        <v>0.38500000000000001</v>
      </c>
      <c r="AF10" s="36">
        <f t="shared" si="12"/>
        <v>0.38500000000000001</v>
      </c>
      <c r="AG10" s="37"/>
      <c r="AH10" s="38"/>
      <c r="AI10" s="2">
        <v>71</v>
      </c>
      <c r="AJ10" s="38">
        <v>22.7</v>
      </c>
      <c r="AK10" s="38">
        <v>16.8</v>
      </c>
      <c r="AL10" s="38">
        <v>13.3</v>
      </c>
      <c r="AM10" s="38">
        <v>12.8</v>
      </c>
      <c r="AN10" s="38">
        <f t="shared" si="3"/>
        <v>1.8441558441558441</v>
      </c>
      <c r="AO10" s="39">
        <f t="shared" si="4"/>
        <v>0</v>
      </c>
      <c r="AP10" s="31" t="s">
        <v>3</v>
      </c>
    </row>
    <row r="11" spans="1:43" s="75" customFormat="1" x14ac:dyDescent="0.3">
      <c r="A11" t="s">
        <v>109</v>
      </c>
      <c r="B11" s="3">
        <v>9</v>
      </c>
      <c r="C11" s="13" t="s">
        <v>323</v>
      </c>
      <c r="D11" s="13" t="s">
        <v>324</v>
      </c>
      <c r="E11" s="26" t="s">
        <v>325</v>
      </c>
      <c r="F11" s="14">
        <v>38.5</v>
      </c>
      <c r="G11" s="14">
        <f t="shared" si="5"/>
        <v>38.5</v>
      </c>
      <c r="H11" s="15"/>
      <c r="I11" s="41"/>
      <c r="J11" s="19">
        <f t="shared" si="0"/>
        <v>0</v>
      </c>
      <c r="K11" s="15">
        <v>0</v>
      </c>
      <c r="L11" s="17">
        <v>0</v>
      </c>
      <c r="M11" s="17" t="e">
        <v>#N/A</v>
      </c>
      <c r="N11" s="19">
        <f t="shared" si="10"/>
        <v>0</v>
      </c>
      <c r="O11" s="16">
        <v>22</v>
      </c>
      <c r="P11" s="14" t="s">
        <v>31</v>
      </c>
      <c r="Q11" s="12">
        <f>VLOOKUP(A11,Data!A:D,4,FALSE)</f>
        <v>0</v>
      </c>
      <c r="R11" s="17">
        <f>VLOOKUP(A11,Data!A:C,3,FALSE)</f>
        <v>0</v>
      </c>
      <c r="S11" s="17"/>
      <c r="T11" s="17">
        <f>Q11*H11+R11*F11</f>
        <v>0</v>
      </c>
      <c r="U11" s="19">
        <f t="shared" si="7"/>
        <v>0</v>
      </c>
      <c r="V11" s="41"/>
      <c r="W11" s="17"/>
      <c r="X11" s="17">
        <f>T11*0.85</f>
        <v>0</v>
      </c>
      <c r="Y11" s="41">
        <f t="shared" si="9"/>
        <v>0</v>
      </c>
      <c r="Z11" s="12">
        <v>0</v>
      </c>
      <c r="AA11" s="17">
        <v>2000</v>
      </c>
      <c r="AB11" s="18">
        <f t="shared" si="1"/>
        <v>2</v>
      </c>
      <c r="AC11" s="20">
        <f t="shared" si="11"/>
        <v>2</v>
      </c>
      <c r="AD11" s="12">
        <f>VLOOKUP(A11,Data!A:F,6,FALSE)</f>
        <v>10</v>
      </c>
      <c r="AE11" s="18">
        <f t="shared" si="2"/>
        <v>0.38500000000000001</v>
      </c>
      <c r="AF11" s="20">
        <f t="shared" si="12"/>
        <v>0.38500000000000001</v>
      </c>
      <c r="AG11" s="21"/>
      <c r="AH11" s="22"/>
      <c r="AI11" s="17">
        <v>216</v>
      </c>
      <c r="AJ11" s="22">
        <v>22.5</v>
      </c>
      <c r="AK11" s="22">
        <v>10</v>
      </c>
      <c r="AL11" s="22">
        <v>13</v>
      </c>
      <c r="AM11" s="22">
        <v>5.6</v>
      </c>
      <c r="AN11" s="22">
        <f t="shared" si="3"/>
        <v>5.6103896103896105</v>
      </c>
      <c r="AO11" s="23">
        <f t="shared" si="4"/>
        <v>0</v>
      </c>
      <c r="AP11" s="19" t="s">
        <v>4</v>
      </c>
    </row>
    <row r="12" spans="1:43" x14ac:dyDescent="0.3">
      <c r="A12" t="s">
        <v>109</v>
      </c>
      <c r="B12" s="3">
        <v>10</v>
      </c>
      <c r="C12" s="27" t="s">
        <v>326</v>
      </c>
      <c r="D12" s="27" t="s">
        <v>327</v>
      </c>
      <c r="E12" s="28" t="s">
        <v>328</v>
      </c>
      <c r="F12" s="29">
        <f>6*8</f>
        <v>48</v>
      </c>
      <c r="G12" s="29">
        <f t="shared" si="5"/>
        <v>48</v>
      </c>
      <c r="H12" s="30"/>
      <c r="I12" s="42"/>
      <c r="J12" s="31">
        <v>0</v>
      </c>
      <c r="K12" s="30">
        <v>0</v>
      </c>
      <c r="L12" s="2">
        <v>0</v>
      </c>
      <c r="M12" s="2" t="e">
        <v>#N/A</v>
      </c>
      <c r="N12" s="31">
        <f t="shared" si="10"/>
        <v>0</v>
      </c>
      <c r="O12" s="32">
        <v>22</v>
      </c>
      <c r="P12" s="29" t="s">
        <v>31</v>
      </c>
      <c r="Q12" s="33">
        <f>VLOOKUP(A12,Data!A:D,4,FALSE)</f>
        <v>0</v>
      </c>
      <c r="R12" s="2">
        <f>VLOOKUP(A12,Data!A:C,3,FALSE)</f>
        <v>0</v>
      </c>
      <c r="S12" s="2"/>
      <c r="T12" s="2">
        <f>Q12*H12+R12*F12</f>
        <v>0</v>
      </c>
      <c r="U12" s="31">
        <f t="shared" si="7"/>
        <v>0</v>
      </c>
      <c r="V12" s="42"/>
      <c r="W12" s="2"/>
      <c r="X12" s="2">
        <f>T12*0.85</f>
        <v>0</v>
      </c>
      <c r="Y12" s="42">
        <f t="shared" si="9"/>
        <v>0</v>
      </c>
      <c r="Z12" s="33">
        <v>0</v>
      </c>
      <c r="AA12" s="2">
        <v>0</v>
      </c>
      <c r="AB12" s="35">
        <f t="shared" si="1"/>
        <v>0</v>
      </c>
      <c r="AC12" s="36">
        <f t="shared" si="11"/>
        <v>0</v>
      </c>
      <c r="AD12" s="33">
        <f>VLOOKUP(A12,Data!A:F,6,FALSE)</f>
        <v>10</v>
      </c>
      <c r="AE12" s="35">
        <f t="shared" si="2"/>
        <v>0.48</v>
      </c>
      <c r="AF12" s="36">
        <f t="shared" si="12"/>
        <v>0.48</v>
      </c>
      <c r="AG12" s="37"/>
      <c r="AH12" s="38"/>
      <c r="AI12" s="2">
        <v>103</v>
      </c>
      <c r="AJ12" s="38">
        <v>22.7</v>
      </c>
      <c r="AK12" s="38">
        <v>16.899999999999999</v>
      </c>
      <c r="AL12" s="38">
        <v>13.1</v>
      </c>
      <c r="AM12" s="38">
        <v>12.5</v>
      </c>
      <c r="AN12" s="38">
        <f t="shared" si="3"/>
        <v>2.1458333333333335</v>
      </c>
      <c r="AO12" s="39">
        <f t="shared" si="4"/>
        <v>0</v>
      </c>
      <c r="AP12" s="31" t="s">
        <v>4</v>
      </c>
    </row>
    <row r="13" spans="1:43" ht="15" thickBot="1" x14ac:dyDescent="0.35">
      <c r="A13" t="s">
        <v>109</v>
      </c>
      <c r="B13" s="3">
        <v>11</v>
      </c>
      <c r="C13" s="13" t="s">
        <v>329</v>
      </c>
      <c r="D13" s="13" t="s">
        <v>330</v>
      </c>
      <c r="E13" s="26" t="s">
        <v>331</v>
      </c>
      <c r="F13" s="14">
        <v>51</v>
      </c>
      <c r="G13" s="14">
        <f t="shared" si="5"/>
        <v>51</v>
      </c>
      <c r="H13" s="14"/>
      <c r="I13" s="14"/>
      <c r="J13" s="19">
        <f t="shared" ref="J13" si="14">H13</f>
        <v>0</v>
      </c>
      <c r="K13" s="15">
        <v>0</v>
      </c>
      <c r="L13" s="17">
        <v>0</v>
      </c>
      <c r="M13" s="17" t="e">
        <v>#N/A</v>
      </c>
      <c r="N13" s="19">
        <f t="shared" si="10"/>
        <v>0</v>
      </c>
      <c r="O13" s="16">
        <v>22</v>
      </c>
      <c r="P13" s="14" t="s">
        <v>31</v>
      </c>
      <c r="Q13" s="12">
        <f>VLOOKUP(A13,Data!A:D,4,FALSE)</f>
        <v>0</v>
      </c>
      <c r="R13" s="17">
        <f>VLOOKUP(A13,Data!A:C,3,FALSE)</f>
        <v>0</v>
      </c>
      <c r="S13" s="17"/>
      <c r="T13" s="17">
        <f>Q13*H13+R13*F13</f>
        <v>0</v>
      </c>
      <c r="U13" s="19">
        <f t="shared" si="7"/>
        <v>0</v>
      </c>
      <c r="V13" s="41"/>
      <c r="W13" s="17"/>
      <c r="X13" s="17">
        <f>T13*0.85</f>
        <v>0</v>
      </c>
      <c r="Y13" s="41">
        <f t="shared" si="9"/>
        <v>0</v>
      </c>
      <c r="Z13" s="12">
        <v>0</v>
      </c>
      <c r="AA13" s="17">
        <v>500</v>
      </c>
      <c r="AB13" s="18">
        <f t="shared" si="1"/>
        <v>0.5</v>
      </c>
      <c r="AC13" s="20">
        <f t="shared" si="11"/>
        <v>0.5</v>
      </c>
      <c r="AD13" s="12">
        <f>VLOOKUP(A13,Data!A:F,6,FALSE)</f>
        <v>10</v>
      </c>
      <c r="AE13" s="18">
        <f t="shared" si="2"/>
        <v>0.51</v>
      </c>
      <c r="AF13" s="20">
        <f t="shared" si="12"/>
        <v>0.51</v>
      </c>
      <c r="AG13" s="21"/>
      <c r="AH13" s="22"/>
      <c r="AI13" s="17">
        <v>69</v>
      </c>
      <c r="AJ13" s="22">
        <v>22.9</v>
      </c>
      <c r="AK13" s="22">
        <v>11.8</v>
      </c>
      <c r="AL13" s="22">
        <v>13.4</v>
      </c>
      <c r="AM13" s="22">
        <v>7.6</v>
      </c>
      <c r="AN13" s="22">
        <f t="shared" si="3"/>
        <v>1.3529411764705883</v>
      </c>
      <c r="AO13" s="23">
        <f t="shared" si="4"/>
        <v>0</v>
      </c>
      <c r="AP13" s="19" t="s">
        <v>4</v>
      </c>
    </row>
    <row r="14" spans="1:43" x14ac:dyDescent="0.3">
      <c r="B14" s="176" t="s">
        <v>39</v>
      </c>
      <c r="C14" s="177"/>
      <c r="D14" s="177"/>
      <c r="E14" s="177"/>
      <c r="F14" s="204"/>
      <c r="G14" s="168" t="e">
        <f>#REF!</f>
        <v>#REF!</v>
      </c>
      <c r="H14" s="176" t="e">
        <f>#REF!</f>
        <v>#REF!</v>
      </c>
      <c r="I14" s="177"/>
      <c r="J14" s="178"/>
      <c r="K14" s="176" t="e">
        <f>#REF!</f>
        <v>#REF!</v>
      </c>
      <c r="L14" s="177"/>
      <c r="M14" s="177"/>
      <c r="N14" s="178"/>
      <c r="O14" s="176" t="s">
        <v>38</v>
      </c>
      <c r="P14" s="177"/>
      <c r="Q14" s="186" t="e">
        <f>#REF! &amp; " L/S"</f>
        <v>#REF!</v>
      </c>
      <c r="R14" s="187"/>
      <c r="S14" s="187"/>
      <c r="T14" s="187"/>
      <c r="U14" s="188"/>
      <c r="V14" s="51"/>
      <c r="W14" s="51"/>
      <c r="X14" s="51"/>
      <c r="Y14" s="51"/>
      <c r="Z14" s="170" t="str">
        <f>ROUND(SUM(AC4:AC13),0) &amp; " KW"</f>
        <v>10 KW</v>
      </c>
      <c r="AA14" s="171"/>
      <c r="AB14" s="171"/>
      <c r="AC14" s="172"/>
      <c r="AD14" s="176" t="str">
        <f>ROUND(SUM(AF4:AF13),0) &amp; " KW"</f>
        <v>4 KW</v>
      </c>
      <c r="AE14" s="177"/>
      <c r="AF14" s="178"/>
      <c r="AG14" s="182">
        <f>SUM(AG4:AG13)</f>
        <v>0</v>
      </c>
      <c r="AH14" s="184">
        <f>SUM(AH4:AH13)</f>
        <v>0</v>
      </c>
      <c r="AI14" s="184">
        <f>SUM(AI4:AI13)</f>
        <v>7471</v>
      </c>
      <c r="AJ14" s="166" t="s">
        <v>38</v>
      </c>
      <c r="AK14" s="166" t="s">
        <v>38</v>
      </c>
      <c r="AL14" s="166" t="s">
        <v>38</v>
      </c>
      <c r="AM14" s="166" t="s">
        <v>38</v>
      </c>
      <c r="AN14" s="166" t="e">
        <f t="shared" si="3"/>
        <v>#REF!</v>
      </c>
      <c r="AO14" s="206" t="e">
        <f t="shared" si="4"/>
        <v>#REF!</v>
      </c>
      <c r="AP14" s="168" t="s">
        <v>38</v>
      </c>
    </row>
    <row r="15" spans="1:43" ht="15" thickBot="1" x14ac:dyDescent="0.35">
      <c r="B15" s="179"/>
      <c r="C15" s="180"/>
      <c r="D15" s="180"/>
      <c r="E15" s="180"/>
      <c r="F15" s="205"/>
      <c r="G15" s="169"/>
      <c r="H15" s="179"/>
      <c r="I15" s="180"/>
      <c r="J15" s="181"/>
      <c r="K15" s="179"/>
      <c r="L15" s="180"/>
      <c r="M15" s="180"/>
      <c r="N15" s="181"/>
      <c r="O15" s="179"/>
      <c r="P15" s="180"/>
      <c r="Q15" s="189"/>
      <c r="R15" s="190"/>
      <c r="S15" s="190"/>
      <c r="T15" s="190"/>
      <c r="U15" s="191"/>
      <c r="V15" s="50"/>
      <c r="W15" s="50"/>
      <c r="X15" s="50"/>
      <c r="Y15" s="50"/>
      <c r="Z15" s="173"/>
      <c r="AA15" s="174"/>
      <c r="AB15" s="174"/>
      <c r="AC15" s="175"/>
      <c r="AD15" s="179"/>
      <c r="AE15" s="180"/>
      <c r="AF15" s="181"/>
      <c r="AG15" s="183"/>
      <c r="AH15" s="185"/>
      <c r="AI15" s="185"/>
      <c r="AJ15" s="167"/>
      <c r="AK15" s="167"/>
      <c r="AL15" s="167"/>
      <c r="AM15" s="167"/>
      <c r="AN15" s="167"/>
      <c r="AO15" s="185"/>
      <c r="AP15" s="169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</sheetData>
  <mergeCells count="28">
    <mergeCell ref="Q14:U15"/>
    <mergeCell ref="B1:AP1"/>
    <mergeCell ref="B2:G2"/>
    <mergeCell ref="H2:J2"/>
    <mergeCell ref="K2:N2"/>
    <mergeCell ref="O2:P2"/>
    <mergeCell ref="Q2:U2"/>
    <mergeCell ref="Z2:AC2"/>
    <mergeCell ref="AD2:AF2"/>
    <mergeCell ref="AG2:AP2"/>
    <mergeCell ref="B14:F15"/>
    <mergeCell ref="G14:G15"/>
    <mergeCell ref="H14:J15"/>
    <mergeCell ref="K14:N15"/>
    <mergeCell ref="O14:P15"/>
    <mergeCell ref="AO14:AO15"/>
    <mergeCell ref="AP14:AP15"/>
    <mergeCell ref="Z14:AC15"/>
    <mergeCell ref="AD14:AF15"/>
    <mergeCell ref="AG14:AG15"/>
    <mergeCell ref="AH14:AH15"/>
    <mergeCell ref="AI14:AI15"/>
    <mergeCell ref="AJ14:AJ15"/>
    <mergeCell ref="V2:Y2"/>
    <mergeCell ref="AK14:AK15"/>
    <mergeCell ref="AL14:AL15"/>
    <mergeCell ref="AM14:AM15"/>
    <mergeCell ref="AN14:AN15"/>
  </mergeCells>
  <pageMargins left="0.25" right="0.25" top="0.25" bottom="0.25" header="0.3" footer="0.3"/>
  <pageSetup paperSize="8" scale="85" fitToHeight="10" orientation="landscape" r:id="rId1"/>
  <ignoredErrors>
    <ignoredError sqref="X7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Data!$A$2:$A$18</xm:f>
          </x14:formula1>
          <xm:sqref>A4:A13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BD122"/>
  <sheetViews>
    <sheetView tabSelected="1" topLeftCell="A3" zoomScale="70" zoomScaleNormal="70" workbookViewId="0">
      <selection activeCell="A84" sqref="A84:XFD84"/>
    </sheetView>
  </sheetViews>
  <sheetFormatPr defaultRowHeight="14.4" x14ac:dyDescent="0.3"/>
  <cols>
    <col min="1" max="1" width="22.5546875" bestFit="1" customWidth="1"/>
    <col min="2" max="2" width="6.109375" style="1" bestFit="1" customWidth="1"/>
    <col min="3" max="3" width="9.88671875" style="1" customWidth="1"/>
    <col min="4" max="4" width="10.88671875" customWidth="1"/>
    <col min="5" max="5" width="36.44140625" customWidth="1"/>
    <col min="6" max="6" width="25.6640625" customWidth="1"/>
    <col min="7" max="7" width="5.5546875" style="1" customWidth="1"/>
    <col min="8" max="8" width="18" style="1" customWidth="1"/>
    <col min="9" max="9" width="18.109375" style="1" customWidth="1"/>
    <col min="10" max="10" width="13.5546875" style="1" customWidth="1"/>
    <col min="11" max="11" width="7.33203125" style="1" customWidth="1"/>
    <col min="12" max="12" width="18.6640625" style="1" customWidth="1"/>
    <col min="13" max="13" width="8.5546875" style="1" customWidth="1"/>
    <col min="14" max="14" width="7.5546875" style="1" customWidth="1"/>
    <col min="15" max="15" width="7.33203125" style="1" customWidth="1"/>
    <col min="16" max="16" width="8.33203125" customWidth="1"/>
    <col min="17" max="17" width="9.6640625" style="1" customWidth="1"/>
    <col min="18" max="18" width="6.6640625" style="1" customWidth="1"/>
    <col min="19" max="20" width="7.109375" style="1" customWidth="1"/>
    <col min="21" max="21" width="9.5546875" style="1" customWidth="1"/>
    <col min="22" max="22" width="13.33203125" style="1" customWidth="1"/>
    <col min="23" max="23" width="41.109375" style="1" customWidth="1"/>
    <col min="24" max="24" width="16.88671875" style="1" customWidth="1"/>
    <col min="25" max="25" width="9.6640625" style="1" customWidth="1"/>
    <col min="26" max="26" width="9.5546875" style="1" customWidth="1"/>
    <col min="27" max="28" width="10" style="1" customWidth="1"/>
    <col min="29" max="29" width="23.33203125" style="1" customWidth="1"/>
    <col min="30" max="30" width="25.5546875" style="1" customWidth="1"/>
    <col min="31" max="32" width="19.44140625" style="1" customWidth="1"/>
    <col min="33" max="33" width="5.44140625" style="1" customWidth="1"/>
    <col min="34" max="34" width="5" style="1" customWidth="1"/>
    <col min="35" max="35" width="6.44140625" style="1" customWidth="1"/>
    <col min="36" max="36" width="7.44140625" style="1" customWidth="1"/>
    <col min="37" max="37" width="7.33203125" style="1" customWidth="1"/>
    <col min="38" max="38" width="5.88671875" style="1" customWidth="1"/>
    <col min="39" max="39" width="7.6640625" style="1" customWidth="1"/>
    <col min="40" max="40" width="11.21875" style="1" customWidth="1"/>
    <col min="41" max="41" width="11.77734375" style="1" customWidth="1"/>
    <col min="42" max="42" width="10.77734375" style="1" customWidth="1"/>
    <col min="43" max="43" width="20.88671875" style="1" customWidth="1"/>
    <col min="44" max="44" width="25.109375" style="1" customWidth="1"/>
    <col min="45" max="46" width="8.109375" style="1" customWidth="1"/>
    <col min="47" max="47" width="5.44140625" style="1" hidden="1" customWidth="1"/>
    <col min="48" max="48" width="6" style="1" hidden="1" customWidth="1"/>
    <col min="49" max="49" width="5.33203125" style="1" hidden="1" customWidth="1"/>
    <col min="50" max="50" width="5.88671875" style="1" hidden="1" customWidth="1"/>
    <col min="51" max="51" width="17" style="1" hidden="1" customWidth="1"/>
    <col min="52" max="52" width="29.21875" style="1" hidden="1" customWidth="1"/>
    <col min="53" max="53" width="26" style="1" hidden="1" customWidth="1"/>
    <col min="54" max="54" width="27.109375" style="1" hidden="1" customWidth="1"/>
    <col min="55" max="56" width="9.6640625" bestFit="1" customWidth="1"/>
  </cols>
  <sheetData>
    <row r="1" spans="1:54" ht="42" customHeight="1" thickBot="1" x14ac:dyDescent="0.35">
      <c r="B1" s="192" t="s">
        <v>302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</row>
    <row r="2" spans="1:54" s="24" customFormat="1" ht="27" customHeight="1" thickBot="1" x14ac:dyDescent="0.35">
      <c r="B2" s="211" t="s">
        <v>11</v>
      </c>
      <c r="C2" s="212"/>
      <c r="D2" s="212"/>
      <c r="E2" s="212"/>
      <c r="F2" s="212"/>
      <c r="G2" s="213"/>
      <c r="H2" s="98"/>
      <c r="I2" s="211" t="s">
        <v>12</v>
      </c>
      <c r="J2" s="212"/>
      <c r="K2" s="213"/>
      <c r="L2" s="201" t="s">
        <v>40</v>
      </c>
      <c r="M2" s="201"/>
      <c r="N2" s="201"/>
      <c r="O2" s="202"/>
      <c r="P2" s="203" t="s">
        <v>14</v>
      </c>
      <c r="Q2" s="196"/>
      <c r="R2" s="207" t="s">
        <v>17</v>
      </c>
      <c r="S2" s="208"/>
      <c r="T2" s="208"/>
      <c r="U2" s="208"/>
      <c r="V2" s="209"/>
      <c r="W2" s="232" t="s">
        <v>349</v>
      </c>
      <c r="X2" s="211" t="s">
        <v>297</v>
      </c>
      <c r="Y2" s="212"/>
      <c r="Z2" s="212"/>
      <c r="AA2" s="213"/>
      <c r="AB2" s="211" t="s">
        <v>350</v>
      </c>
      <c r="AC2" s="223" t="s">
        <v>351</v>
      </c>
      <c r="AD2" s="223" t="s">
        <v>335</v>
      </c>
      <c r="AE2" s="223" t="s">
        <v>348</v>
      </c>
      <c r="AF2" s="227" t="s">
        <v>347</v>
      </c>
      <c r="AG2" s="212" t="s">
        <v>21</v>
      </c>
      <c r="AH2" s="212"/>
      <c r="AI2" s="212"/>
      <c r="AJ2" s="213"/>
      <c r="AK2" s="211" t="s">
        <v>22</v>
      </c>
      <c r="AL2" s="212"/>
      <c r="AM2" s="213"/>
      <c r="AN2" s="211" t="s">
        <v>30</v>
      </c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3"/>
    </row>
    <row r="3" spans="1:54" s="24" customFormat="1" ht="27" customHeight="1" thickBot="1" x14ac:dyDescent="0.35">
      <c r="B3" s="220">
        <f>SUBTOTAL(109,G5:H115)</f>
        <v>2606.56</v>
      </c>
      <c r="C3" s="221"/>
      <c r="D3" s="221"/>
      <c r="E3" s="221"/>
      <c r="F3" s="221"/>
      <c r="G3" s="231"/>
      <c r="H3" s="99"/>
      <c r="I3" s="217"/>
      <c r="J3" s="218"/>
      <c r="K3" s="219"/>
      <c r="L3" s="78"/>
      <c r="M3" s="78"/>
      <c r="N3" s="78"/>
      <c r="O3" s="79"/>
      <c r="P3" s="80"/>
      <c r="Q3" s="77"/>
      <c r="R3" s="220">
        <f>SUBTOTAL(9,(V5:V115))</f>
        <v>1370</v>
      </c>
      <c r="S3" s="221"/>
      <c r="T3" s="221"/>
      <c r="U3" s="221"/>
      <c r="V3" s="221"/>
      <c r="W3" s="233"/>
      <c r="X3" s="220">
        <f>SUBTOTAL(9,(AB5:AB115))</f>
        <v>-815</v>
      </c>
      <c r="Y3" s="221"/>
      <c r="Z3" s="221"/>
      <c r="AA3" s="231"/>
      <c r="AB3" s="230"/>
      <c r="AC3" s="224"/>
      <c r="AD3" s="224"/>
      <c r="AE3" s="224"/>
      <c r="AF3" s="228"/>
      <c r="AG3" s="218"/>
      <c r="AH3" s="218"/>
      <c r="AI3" s="218"/>
      <c r="AJ3" s="219"/>
      <c r="AK3" s="214"/>
      <c r="AL3" s="215"/>
      <c r="AM3" s="216"/>
      <c r="AN3" s="217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9"/>
    </row>
    <row r="4" spans="1:54" ht="38.4" customHeight="1" thickBot="1" x14ac:dyDescent="0.35">
      <c r="A4" t="s">
        <v>41</v>
      </c>
      <c r="B4" s="100" t="s">
        <v>7</v>
      </c>
      <c r="C4" s="101"/>
      <c r="D4" s="102" t="s">
        <v>5</v>
      </c>
      <c r="E4" s="103" t="s">
        <v>6</v>
      </c>
      <c r="F4" s="104"/>
      <c r="G4" s="105" t="s">
        <v>13</v>
      </c>
      <c r="H4" s="40" t="s">
        <v>36</v>
      </c>
      <c r="I4" s="88" t="s">
        <v>107</v>
      </c>
      <c r="J4" s="81" t="s">
        <v>108</v>
      </c>
      <c r="K4" s="89" t="s">
        <v>35</v>
      </c>
      <c r="L4" s="40" t="s">
        <v>41</v>
      </c>
      <c r="M4" s="8" t="s">
        <v>42</v>
      </c>
      <c r="N4" s="8" t="s">
        <v>43</v>
      </c>
      <c r="O4" s="11" t="s">
        <v>35</v>
      </c>
      <c r="P4" s="6" t="s">
        <v>15</v>
      </c>
      <c r="Q4" s="5" t="s">
        <v>16</v>
      </c>
      <c r="R4" s="86" t="s">
        <v>33</v>
      </c>
      <c r="S4" s="87" t="s">
        <v>34</v>
      </c>
      <c r="T4" s="87" t="s">
        <v>296</v>
      </c>
      <c r="U4" s="87" t="s">
        <v>18</v>
      </c>
      <c r="V4" s="90" t="s">
        <v>300</v>
      </c>
      <c r="W4" s="234"/>
      <c r="X4" s="88" t="s">
        <v>338</v>
      </c>
      <c r="Y4" s="82" t="s">
        <v>299</v>
      </c>
      <c r="Z4" s="82" t="s">
        <v>18</v>
      </c>
      <c r="AA4" s="85" t="s">
        <v>300</v>
      </c>
      <c r="AB4" s="217"/>
      <c r="AC4" s="225"/>
      <c r="AD4" s="225"/>
      <c r="AE4" s="225"/>
      <c r="AF4" s="229"/>
      <c r="AG4" s="84" t="s">
        <v>37</v>
      </c>
      <c r="AH4" s="83" t="s">
        <v>20</v>
      </c>
      <c r="AI4" s="82" t="s">
        <v>23</v>
      </c>
      <c r="AJ4" s="85" t="s">
        <v>24</v>
      </c>
      <c r="AK4" s="7" t="s">
        <v>19</v>
      </c>
      <c r="AL4" s="5" t="s">
        <v>23</v>
      </c>
      <c r="AM4" s="9" t="s">
        <v>23</v>
      </c>
      <c r="AN4" s="84" t="s">
        <v>24</v>
      </c>
      <c r="AO4" s="83" t="s">
        <v>25</v>
      </c>
      <c r="AP4" s="83" t="s">
        <v>361</v>
      </c>
      <c r="AQ4" s="83" t="s">
        <v>362</v>
      </c>
      <c r="AR4" s="83" t="s">
        <v>363</v>
      </c>
      <c r="AS4" s="83" t="s">
        <v>381</v>
      </c>
      <c r="AT4" s="83" t="s">
        <v>382</v>
      </c>
      <c r="AU4" s="83" t="s">
        <v>26</v>
      </c>
      <c r="AV4" s="83" t="s">
        <v>27</v>
      </c>
      <c r="AW4" s="83" t="s">
        <v>28</v>
      </c>
      <c r="AX4" s="83" t="s">
        <v>29</v>
      </c>
      <c r="AY4" s="83" t="s">
        <v>32</v>
      </c>
      <c r="AZ4" s="83" t="s">
        <v>379</v>
      </c>
      <c r="BA4" s="85" t="s">
        <v>10</v>
      </c>
      <c r="BB4" s="85" t="s">
        <v>352</v>
      </c>
    </row>
    <row r="5" spans="1:54" ht="15" hidden="1" thickBot="1" x14ac:dyDescent="0.35">
      <c r="A5" t="s">
        <v>109</v>
      </c>
      <c r="B5" s="3">
        <v>1</v>
      </c>
      <c r="C5" s="64" t="s">
        <v>341</v>
      </c>
      <c r="D5" s="27" t="s">
        <v>46</v>
      </c>
      <c r="E5" s="27" t="s">
        <v>64</v>
      </c>
      <c r="F5" s="28" t="s">
        <v>72</v>
      </c>
      <c r="G5" s="29">
        <v>16</v>
      </c>
      <c r="H5" s="47">
        <f>G5</f>
        <v>16</v>
      </c>
      <c r="I5" s="30">
        <v>1</v>
      </c>
      <c r="J5" s="42"/>
      <c r="K5" s="49">
        <f t="shared" ref="K5:K13" si="0">I5</f>
        <v>1</v>
      </c>
      <c r="L5" s="42">
        <v>0</v>
      </c>
      <c r="M5" s="2">
        <v>0</v>
      </c>
      <c r="N5" s="2">
        <f>VLOOKUP(A5,Data!A:B,2,FALSE)</f>
        <v>2</v>
      </c>
      <c r="O5" s="31">
        <f>L5</f>
        <v>0</v>
      </c>
      <c r="P5" s="32">
        <v>22</v>
      </c>
      <c r="Q5" s="29">
        <v>50</v>
      </c>
      <c r="R5" s="33">
        <f>VLOOKUP(A5,Data!A:D,4,FALSE)</f>
        <v>0</v>
      </c>
      <c r="S5" s="2">
        <f>VLOOKUP(A5,Data!A:C,3,FALSE)</f>
        <v>0</v>
      </c>
      <c r="T5" s="2"/>
      <c r="U5" s="2">
        <f t="shared" ref="U5:U10" si="1">R5*I5+S5*G5</f>
        <v>0</v>
      </c>
      <c r="V5" s="29">
        <v>11</v>
      </c>
      <c r="W5" s="124"/>
      <c r="X5" s="125"/>
      <c r="Y5" s="126"/>
      <c r="Z5" s="126">
        <f>U5/0.85</f>
        <v>0</v>
      </c>
      <c r="AA5" s="127">
        <v>25</v>
      </c>
      <c r="AB5" s="134">
        <v>-15</v>
      </c>
      <c r="AC5" s="132"/>
      <c r="AD5" s="93" t="str">
        <f>IF(V5+W5+AB5 &gt; 0, "Positive", IF(V5-+W5+AB5 &lt; 0, "Negative", "Neutral"))</f>
        <v>Negative</v>
      </c>
      <c r="AE5" s="107">
        <f>ROUND(ABS((V5+AB5+W5+AC5)*3.6)/(G5*3),2)</f>
        <v>0.3</v>
      </c>
      <c r="AF5" s="106" t="b">
        <f>AND(AE5&gt;=0.3,AE5&lt;=0.8)</f>
        <v>1</v>
      </c>
      <c r="AG5" s="32"/>
      <c r="AH5" s="2"/>
      <c r="AI5" s="35"/>
      <c r="AJ5" s="36"/>
      <c r="AK5" s="32">
        <f>VLOOKUP(A5,Data!A:F,6,FALSE)</f>
        <v>10</v>
      </c>
      <c r="AL5" s="35">
        <f t="shared" ref="AL5:AL36" si="2">AK5*G5/1000</f>
        <v>0.16</v>
      </c>
      <c r="AM5" s="36">
        <f>AL5</f>
        <v>0.16</v>
      </c>
      <c r="AN5" s="37"/>
      <c r="AO5" s="38"/>
      <c r="AP5" s="151">
        <v>1</v>
      </c>
      <c r="AQ5" s="151">
        <f t="shared" ref="AQ5:AQ68" si="3">AO5/AP5</f>
        <v>0</v>
      </c>
      <c r="AR5" s="161">
        <v>2.2999999999999998</v>
      </c>
      <c r="AS5" s="2">
        <f>IF(AR5&lt;=Sheet2!$D$2,Sheet2!$C$2,IF(AR5&lt;=Sheet2!$D$3,Sheet2!$C$3,IF(AR5&lt;=Sheet2!$D$4,Sheet2!$C$4,IF(AR5&lt;=Sheet2!$D$5,Sheet2!$C$5,IF(AR5&lt;=Sheet2!$D$6,Sheet2!$C$6,IF(AR5&lt;=Sheet2!$D$7,Sheet2!$C$7,IF(AR5&lt;=Sheet2!$D$8,Sheet2!$C$8,IF(AR5&lt;=Sheet2!$D$9,Sheet2!$C$9,IF(AR5&lt;=Sheet2!$D$10,Sheet2!$C$10,IF(AR5&lt;=Sheet2!$D$11,Sheet2!$C$11,0))))))))))</f>
        <v>158</v>
      </c>
      <c r="AT5" s="2">
        <f>AS5-V5</f>
        <v>147</v>
      </c>
      <c r="AU5" s="38"/>
      <c r="AV5" s="38"/>
      <c r="AW5" s="38"/>
      <c r="AX5" s="38"/>
      <c r="AY5" s="38">
        <f t="shared" ref="AY5:AY33" si="4">AS5/H5</f>
        <v>9.875</v>
      </c>
      <c r="AZ5" s="39">
        <f>(AR5/H5*1000)*3.4</f>
        <v>488.75</v>
      </c>
      <c r="BA5" s="161" t="s">
        <v>373</v>
      </c>
      <c r="BB5" s="31" t="str">
        <f>IF(AR5&lt;=Sheet2!$D$2,Sheet2!$B$2,IF(AR5&lt;=Sheet2!$D$3,Sheet2!$B$3,IF(AR5&lt;=Sheet2!$D$4,Sheet2!$B$4,IF(AR5&lt;=Sheet2!$D$5,Sheet2!$B$5,IF(AR5&lt;=Sheet2!$D$6,Sheet2!$B$6,IF(AR5&lt;=Sheet2!$D$7,Sheet2!$B$7,IF(AR5&lt;=Sheet2!$D$8,Sheet2!$B$8,IF(AR5&lt;=Sheet2!$D$9,Sheet2!$B$9,IF(AR5&lt;=Sheet2!$D$10,Sheet2!$B$10,IF(AR5&lt;=Sheet2!$D$11,Sheet2!$B$11,0))))))))))</f>
        <v>FXSQ32A</v>
      </c>
    </row>
    <row r="6" spans="1:54" ht="13.95" hidden="1" customHeight="1" thickBot="1" x14ac:dyDescent="0.35">
      <c r="A6" t="s">
        <v>301</v>
      </c>
      <c r="B6" s="3">
        <v>2</v>
      </c>
      <c r="C6" s="64" t="s">
        <v>341</v>
      </c>
      <c r="D6" s="13" t="s">
        <v>47</v>
      </c>
      <c r="E6" s="13" t="s">
        <v>45</v>
      </c>
      <c r="F6" s="26" t="s">
        <v>60</v>
      </c>
      <c r="G6" s="14">
        <v>12.5</v>
      </c>
      <c r="H6" s="14">
        <f>G6</f>
        <v>12.5</v>
      </c>
      <c r="I6" s="15">
        <v>1</v>
      </c>
      <c r="J6" s="41"/>
      <c r="K6" s="19">
        <f t="shared" si="0"/>
        <v>1</v>
      </c>
      <c r="L6" s="41">
        <v>0</v>
      </c>
      <c r="M6" s="17">
        <v>0</v>
      </c>
      <c r="N6" s="17">
        <f>VLOOKUP(A6,Data!A:B,2,FALSE)</f>
        <v>0</v>
      </c>
      <c r="O6" s="19">
        <f>L6</f>
        <v>0</v>
      </c>
      <c r="P6" s="16">
        <v>22</v>
      </c>
      <c r="Q6" s="14">
        <v>51</v>
      </c>
      <c r="R6" s="12">
        <f>VLOOKUP(A6,Data!A:D,4,FALSE)</f>
        <v>0</v>
      </c>
      <c r="S6" s="17">
        <f>VLOOKUP(A6,Data!A:C,3,FALSE)</f>
        <v>0</v>
      </c>
      <c r="T6" s="17"/>
      <c r="U6" s="17"/>
      <c r="V6" s="29">
        <v>60</v>
      </c>
      <c r="W6" s="93"/>
      <c r="X6" s="62"/>
      <c r="Y6" s="34"/>
      <c r="Z6" s="34">
        <f>65</f>
        <v>65</v>
      </c>
      <c r="AA6" s="31">
        <f t="shared" ref="AA6:AA69" si="5">CEILING(Z6,1)</f>
        <v>65</v>
      </c>
      <c r="AB6" s="92">
        <f>(CEILING(AA6,1))*-1</f>
        <v>-65</v>
      </c>
      <c r="AC6" s="132"/>
      <c r="AD6" s="93" t="str">
        <f t="shared" ref="AD6:AD69" si="6">IF(V6+W6+AB6 &gt; 0, "Positive", IF(V6-+W6+AB6 &lt; 0, "Negative", "Neutral"))</f>
        <v>Negative</v>
      </c>
      <c r="AE6" s="107">
        <f t="shared" ref="AE6:AE69" si="7">ROUND(ABS((V6+AB6+W6+AC6)*3.6)/(G6*3),2)</f>
        <v>0.48</v>
      </c>
      <c r="AF6" s="106" t="b">
        <f t="shared" ref="AF6:AF69" si="8">AND(AE6&gt;=0.3,AE6&lt;=0.8)</f>
        <v>1</v>
      </c>
      <c r="AG6" s="16"/>
      <c r="AH6" s="17"/>
      <c r="AI6" s="18"/>
      <c r="AJ6" s="20"/>
      <c r="AK6" s="16">
        <f>VLOOKUP(A6,Data!A:F,6,FALSE)</f>
        <v>0</v>
      </c>
      <c r="AL6" s="18">
        <f t="shared" si="2"/>
        <v>0</v>
      </c>
      <c r="AM6" s="20">
        <f>AL6</f>
        <v>0</v>
      </c>
      <c r="AN6" s="21"/>
      <c r="AO6" s="22"/>
      <c r="AP6" s="152">
        <v>1</v>
      </c>
      <c r="AQ6" s="152">
        <f t="shared" si="3"/>
        <v>0</v>
      </c>
      <c r="AR6" s="162">
        <v>1</v>
      </c>
      <c r="AS6" s="17">
        <f>IF(AR6&lt;=Sheet2!$D$2,Sheet2!$C$2,IF(AR6&lt;=Sheet2!$D$3,Sheet2!$C$3,IF(AR6&lt;=Sheet2!$D$4,Sheet2!$C$4,IF(AR6&lt;=Sheet2!$D$5,Sheet2!$C$5,IF(AR6&lt;=Sheet2!$D$6,Sheet2!$C$6,IF(AR6&lt;=Sheet2!$D$7,Sheet2!$C$7,IF(AR6&lt;=Sheet2!$D$8,Sheet2!$C$8,IF(AR6&lt;=Sheet2!$D$9,Sheet2!$C$9,IF(AR6&lt;=Sheet2!$D$10,Sheet2!$C$10,IF(AR6&lt;=Sheet2!$D$11,Sheet2!$C$11,0))))))))))</f>
        <v>150</v>
      </c>
      <c r="AT6" s="2">
        <f t="shared" ref="AT6:AT69" si="9">AS6-V6</f>
        <v>90</v>
      </c>
      <c r="AU6" s="22"/>
      <c r="AV6" s="22"/>
      <c r="AW6" s="22"/>
      <c r="AX6" s="22"/>
      <c r="AY6" s="22">
        <f t="shared" si="4"/>
        <v>12</v>
      </c>
      <c r="AZ6" s="39">
        <f t="shared" ref="AZ6:AZ69" si="10">(AR6/H6*1000)*3.4</f>
        <v>272</v>
      </c>
      <c r="BA6" s="161" t="s">
        <v>373</v>
      </c>
      <c r="BB6" s="31" t="str">
        <f>IF(AR6&lt;=Sheet2!$D$2,Sheet2!$B$2,IF(AR6&lt;=Sheet2!$D$3,Sheet2!$B$3,IF(AR6&lt;=Sheet2!$D$4,Sheet2!$B$4,IF(AR6&lt;=Sheet2!$D$5,Sheet2!$B$5,IF(AR6&lt;=Sheet2!$D$6,Sheet2!$B$6,IF(AR6&lt;=Sheet2!$D$7,Sheet2!$B$7,IF(AR6&lt;=Sheet2!$D$8,Sheet2!$B$8,IF(AR6&lt;=Sheet2!$D$9,Sheet2!$B$9,IF(AR6&lt;=Sheet2!$D$10,Sheet2!$B$10,IF(AR6&lt;=Sheet2!$D$11,Sheet2!$B$11,0))))))))))</f>
        <v>FXSQ20A</v>
      </c>
    </row>
    <row r="7" spans="1:54" ht="15" hidden="1" thickBot="1" x14ac:dyDescent="0.35">
      <c r="A7" t="s">
        <v>121</v>
      </c>
      <c r="B7" s="3">
        <v>3</v>
      </c>
      <c r="C7" s="64" t="s">
        <v>341</v>
      </c>
      <c r="D7" s="27" t="s">
        <v>48</v>
      </c>
      <c r="E7" s="27" t="s">
        <v>65</v>
      </c>
      <c r="F7" s="28" t="s">
        <v>61</v>
      </c>
      <c r="G7" s="29">
        <v>11.2</v>
      </c>
      <c r="H7" s="47">
        <f>G7</f>
        <v>11.2</v>
      </c>
      <c r="I7" s="30">
        <v>1</v>
      </c>
      <c r="J7" s="42"/>
      <c r="K7" s="49">
        <f t="shared" si="0"/>
        <v>1</v>
      </c>
      <c r="L7" s="42">
        <v>0</v>
      </c>
      <c r="M7" s="2">
        <v>0</v>
      </c>
      <c r="N7" s="2">
        <f>VLOOKUP(A7,Data!A:B,2,FALSE)</f>
        <v>0</v>
      </c>
      <c r="O7" s="31">
        <f>L7</f>
        <v>0</v>
      </c>
      <c r="P7" s="32">
        <v>26</v>
      </c>
      <c r="Q7" s="29" t="s">
        <v>31</v>
      </c>
      <c r="R7" s="33">
        <f>VLOOKUP(A7,Data!A:D,4,FALSE)</f>
        <v>0</v>
      </c>
      <c r="S7" s="2">
        <f>VLOOKUP(A7,Data!A:C,3,FALSE)</f>
        <v>0</v>
      </c>
      <c r="T7" s="2"/>
      <c r="U7" s="2">
        <f t="shared" si="1"/>
        <v>0</v>
      </c>
      <c r="V7" s="29">
        <v>50</v>
      </c>
      <c r="W7" s="93"/>
      <c r="X7" s="62"/>
      <c r="Y7" s="34"/>
      <c r="Z7" s="34">
        <f>U7/0.85</f>
        <v>0</v>
      </c>
      <c r="AA7" s="31">
        <v>55</v>
      </c>
      <c r="AB7" s="92">
        <v>-55</v>
      </c>
      <c r="AC7" s="132"/>
      <c r="AD7" s="93" t="str">
        <f t="shared" si="6"/>
        <v>Negative</v>
      </c>
      <c r="AE7" s="107">
        <f t="shared" si="7"/>
        <v>0.54</v>
      </c>
      <c r="AF7" s="106" t="b">
        <f t="shared" si="8"/>
        <v>1</v>
      </c>
      <c r="AG7" s="32"/>
      <c r="AH7" s="2"/>
      <c r="AI7" s="35"/>
      <c r="AJ7" s="36"/>
      <c r="AK7" s="32">
        <f>VLOOKUP(A7,Data!A:F,6,FALSE)</f>
        <v>10</v>
      </c>
      <c r="AL7" s="35">
        <f t="shared" si="2"/>
        <v>0.112</v>
      </c>
      <c r="AM7" s="36">
        <f>AL7</f>
        <v>0.112</v>
      </c>
      <c r="AN7" s="37"/>
      <c r="AO7" s="38"/>
      <c r="AP7" s="151">
        <v>1</v>
      </c>
      <c r="AQ7" s="151">
        <f t="shared" si="3"/>
        <v>0</v>
      </c>
      <c r="AR7" s="161">
        <v>5.9</v>
      </c>
      <c r="AS7" s="2">
        <f>IF(AR7&lt;=Sheet2!$D$2,Sheet2!$C$2,IF(AR7&lt;=Sheet2!$D$3,Sheet2!$C$3,IF(AR7&lt;=Sheet2!$D$4,Sheet2!$C$4,IF(AR7&lt;=Sheet2!$D$5,Sheet2!$C$5,IF(AR7&lt;=Sheet2!$D$6,Sheet2!$C$6,IF(AR7&lt;=Sheet2!$D$7,Sheet2!$C$7,IF(AR7&lt;=Sheet2!$D$8,Sheet2!$C$8,IF(AR7&lt;=Sheet2!$D$9,Sheet2!$C$9,IF(AR7&lt;=Sheet2!$D$10,Sheet2!$C$10,IF(AR7&lt;=Sheet2!$D$11,Sheet2!$C$11,0))))))))))</f>
        <v>533</v>
      </c>
      <c r="AT7" s="2">
        <f t="shared" si="9"/>
        <v>483</v>
      </c>
      <c r="AU7" s="38"/>
      <c r="AV7" s="38"/>
      <c r="AW7" s="38"/>
      <c r="AX7" s="38"/>
      <c r="AY7" s="38">
        <f t="shared" si="4"/>
        <v>47.589285714285715</v>
      </c>
      <c r="AZ7" s="39">
        <f t="shared" si="10"/>
        <v>1791.0714285714287</v>
      </c>
      <c r="BA7" s="161" t="s">
        <v>373</v>
      </c>
      <c r="BB7" s="31" t="str">
        <f>IF(AR7&lt;=Sheet2!$D$2,Sheet2!$B$2,IF(AR7&lt;=Sheet2!$D$3,Sheet2!$B$3,IF(AR7&lt;=Sheet2!$D$4,Sheet2!$B$4,IF(AR7&lt;=Sheet2!$D$5,Sheet2!$B$5,IF(AR7&lt;=Sheet2!$D$6,Sheet2!$B$6,IF(AR7&lt;=Sheet2!$D$7,Sheet2!$B$7,IF(AR7&lt;=Sheet2!$D$8,Sheet2!$B$8,IF(AR7&lt;=Sheet2!$D$9,Sheet2!$B$9,IF(AR7&lt;=Sheet2!$D$10,Sheet2!$B$10,IF(AR7&lt;=Sheet2!$D$11,Sheet2!$B$11,0))))))))))</f>
        <v>FXSQ100A</v>
      </c>
    </row>
    <row r="8" spans="1:54" ht="13.95" hidden="1" customHeight="1" thickBot="1" x14ac:dyDescent="0.35">
      <c r="A8" t="s">
        <v>109</v>
      </c>
      <c r="B8" s="3">
        <v>4</v>
      </c>
      <c r="C8" s="64" t="s">
        <v>341</v>
      </c>
      <c r="D8" s="13" t="s">
        <v>49</v>
      </c>
      <c r="E8" s="13" t="s">
        <v>67</v>
      </c>
      <c r="F8" s="26" t="s">
        <v>62</v>
      </c>
      <c r="G8" s="14">
        <f>2.5*2.4</f>
        <v>6</v>
      </c>
      <c r="H8" s="14">
        <f t="shared" ref="H8" si="11">G8</f>
        <v>6</v>
      </c>
      <c r="I8" s="15">
        <v>1</v>
      </c>
      <c r="J8" s="41"/>
      <c r="K8" s="19">
        <f t="shared" si="0"/>
        <v>1</v>
      </c>
      <c r="L8" s="41">
        <v>0</v>
      </c>
      <c r="M8" s="17">
        <v>0</v>
      </c>
      <c r="N8" s="17">
        <f>VLOOKUP(A8,Data!A:B,2,FALSE)</f>
        <v>2</v>
      </c>
      <c r="O8" s="19">
        <f t="shared" ref="O8" si="12">L8</f>
        <v>0</v>
      </c>
      <c r="P8" s="16">
        <v>22</v>
      </c>
      <c r="Q8" s="14" t="s">
        <v>31</v>
      </c>
      <c r="R8" s="12">
        <f>VLOOKUP(A8,Data!A:D,4,FALSE)</f>
        <v>0</v>
      </c>
      <c r="S8" s="17">
        <f>VLOOKUP(A8,Data!A:C,3,FALSE)</f>
        <v>0</v>
      </c>
      <c r="T8" s="17"/>
      <c r="U8" s="17">
        <f t="shared" si="1"/>
        <v>0</v>
      </c>
      <c r="V8" s="29">
        <v>12</v>
      </c>
      <c r="W8" s="93"/>
      <c r="X8" s="62"/>
      <c r="Y8" s="2"/>
      <c r="Z8" s="2">
        <v>10</v>
      </c>
      <c r="AA8" s="31">
        <v>25</v>
      </c>
      <c r="AB8" s="134">
        <v>-15</v>
      </c>
      <c r="AC8" s="132"/>
      <c r="AD8" s="93" t="str">
        <f t="shared" si="6"/>
        <v>Negative</v>
      </c>
      <c r="AE8" s="107">
        <f t="shared" si="7"/>
        <v>0.6</v>
      </c>
      <c r="AF8" s="106" t="b">
        <f t="shared" si="8"/>
        <v>1</v>
      </c>
      <c r="AG8" s="16"/>
      <c r="AH8" s="17"/>
      <c r="AI8" s="18"/>
      <c r="AJ8" s="20"/>
      <c r="AK8" s="16">
        <f>VLOOKUP(A8,Data!A:F,6,FALSE)</f>
        <v>10</v>
      </c>
      <c r="AL8" s="18">
        <f t="shared" si="2"/>
        <v>0.06</v>
      </c>
      <c r="AM8" s="20">
        <f t="shared" ref="AM8" si="13">AL8</f>
        <v>0.06</v>
      </c>
      <c r="AN8" s="21"/>
      <c r="AO8" s="22"/>
      <c r="AP8" s="152">
        <v>1</v>
      </c>
      <c r="AQ8" s="152">
        <f t="shared" si="3"/>
        <v>0</v>
      </c>
      <c r="AR8" s="162">
        <v>0</v>
      </c>
      <c r="AS8" s="17">
        <f>IF(AR8&lt;=Sheet2!$D$2,Sheet2!$C$2,IF(AR8&lt;=Sheet2!$D$3,Sheet2!$C$3,IF(AR8&lt;=Sheet2!$D$4,Sheet2!$C$4,IF(AR8&lt;=Sheet2!$D$5,Sheet2!$C$5,IF(AR8&lt;=Sheet2!$D$6,Sheet2!$C$6,IF(AR8&lt;=Sheet2!$D$7,Sheet2!$C$7,IF(AR8&lt;=Sheet2!$D$8,Sheet2!$C$8,IF(AR8&lt;=Sheet2!$D$9,Sheet2!$C$9,IF(AR8&lt;=Sheet2!$D$10,Sheet2!$C$10,IF(AR8&lt;=Sheet2!$D$11,Sheet2!$C$11,0))))))))))</f>
        <v>150</v>
      </c>
      <c r="AT8" s="2">
        <f t="shared" si="9"/>
        <v>138</v>
      </c>
      <c r="AU8" s="22"/>
      <c r="AV8" s="22"/>
      <c r="AW8" s="22"/>
      <c r="AX8" s="22"/>
      <c r="AY8" s="22">
        <f t="shared" si="4"/>
        <v>25</v>
      </c>
      <c r="AZ8" s="39">
        <f t="shared" si="10"/>
        <v>0</v>
      </c>
      <c r="BA8" s="161" t="s">
        <v>373</v>
      </c>
      <c r="BB8" s="31" t="s">
        <v>369</v>
      </c>
    </row>
    <row r="9" spans="1:54" ht="15" hidden="1" thickBot="1" x14ac:dyDescent="0.35">
      <c r="A9" t="s">
        <v>109</v>
      </c>
      <c r="B9" s="3">
        <v>5</v>
      </c>
      <c r="C9" s="64" t="s">
        <v>341</v>
      </c>
      <c r="D9" s="27" t="s">
        <v>50</v>
      </c>
      <c r="E9" s="27" t="s">
        <v>66</v>
      </c>
      <c r="F9" s="28" t="s">
        <v>63</v>
      </c>
      <c r="G9" s="29">
        <f>2.5*2.4</f>
        <v>6</v>
      </c>
      <c r="H9" s="47">
        <f t="shared" ref="H9" si="14">G9</f>
        <v>6</v>
      </c>
      <c r="I9" s="30">
        <v>1</v>
      </c>
      <c r="J9" s="42"/>
      <c r="K9" s="49">
        <f t="shared" si="0"/>
        <v>1</v>
      </c>
      <c r="L9" s="42">
        <v>0</v>
      </c>
      <c r="M9" s="2">
        <v>0</v>
      </c>
      <c r="N9" s="2">
        <f>VLOOKUP(A9,Data!A:B,2,FALSE)</f>
        <v>2</v>
      </c>
      <c r="O9" s="31">
        <f t="shared" ref="O9" si="15">L9</f>
        <v>0</v>
      </c>
      <c r="P9" s="32">
        <v>22</v>
      </c>
      <c r="Q9" s="29" t="s">
        <v>31</v>
      </c>
      <c r="R9" s="33">
        <f>VLOOKUP(A9,Data!A:D,4,FALSE)</f>
        <v>0</v>
      </c>
      <c r="S9" s="2">
        <f>VLOOKUP(A9,Data!A:C,3,FALSE)</f>
        <v>0</v>
      </c>
      <c r="T9" s="2"/>
      <c r="U9" s="2">
        <v>10</v>
      </c>
      <c r="V9" s="29">
        <v>12</v>
      </c>
      <c r="W9" s="93"/>
      <c r="X9" s="62"/>
      <c r="Y9" s="2"/>
      <c r="Z9" s="2">
        <v>0</v>
      </c>
      <c r="AA9" s="31">
        <v>25</v>
      </c>
      <c r="AB9" s="134">
        <v>-15</v>
      </c>
      <c r="AC9" s="132"/>
      <c r="AD9" s="93" t="str">
        <f t="shared" si="6"/>
        <v>Negative</v>
      </c>
      <c r="AE9" s="107">
        <f t="shared" si="7"/>
        <v>0.6</v>
      </c>
      <c r="AF9" s="106" t="b">
        <f t="shared" si="8"/>
        <v>1</v>
      </c>
      <c r="AG9" s="32"/>
      <c r="AH9" s="2"/>
      <c r="AI9" s="35"/>
      <c r="AJ9" s="36"/>
      <c r="AK9" s="32">
        <f>VLOOKUP(A9,Data!A:F,6,FALSE)</f>
        <v>10</v>
      </c>
      <c r="AL9" s="35">
        <f t="shared" si="2"/>
        <v>0.06</v>
      </c>
      <c r="AM9" s="36">
        <f t="shared" ref="AM9" si="16">AL9</f>
        <v>0.06</v>
      </c>
      <c r="AN9" s="37"/>
      <c r="AO9" s="38"/>
      <c r="AP9" s="151">
        <v>1</v>
      </c>
      <c r="AQ9" s="151">
        <f t="shared" si="3"/>
        <v>0</v>
      </c>
      <c r="AR9" s="161">
        <v>0</v>
      </c>
      <c r="AS9" s="2">
        <f>IF(AR9&lt;=Sheet2!$D$2,Sheet2!$C$2,IF(AR9&lt;=Sheet2!$D$3,Sheet2!$C$3,IF(AR9&lt;=Sheet2!$D$4,Sheet2!$C$4,IF(AR9&lt;=Sheet2!$D$5,Sheet2!$C$5,IF(AR9&lt;=Sheet2!$D$6,Sheet2!$C$6,IF(AR9&lt;=Sheet2!$D$7,Sheet2!$C$7,IF(AR9&lt;=Sheet2!$D$8,Sheet2!$C$8,IF(AR9&lt;=Sheet2!$D$9,Sheet2!$C$9,IF(AR9&lt;=Sheet2!$D$10,Sheet2!$C$10,IF(AR9&lt;=Sheet2!$D$11,Sheet2!$C$11,0))))))))))</f>
        <v>150</v>
      </c>
      <c r="AT9" s="2">
        <f t="shared" si="9"/>
        <v>138</v>
      </c>
      <c r="AU9" s="38"/>
      <c r="AV9" s="38"/>
      <c r="AW9" s="38"/>
      <c r="AX9" s="38"/>
      <c r="AY9" s="38">
        <f t="shared" si="4"/>
        <v>25</v>
      </c>
      <c r="AZ9" s="39">
        <f t="shared" si="10"/>
        <v>0</v>
      </c>
      <c r="BA9" s="161" t="s">
        <v>373</v>
      </c>
      <c r="BB9" s="31" t="s">
        <v>369</v>
      </c>
    </row>
    <row r="10" spans="1:54" ht="13.95" hidden="1" customHeight="1" thickBot="1" x14ac:dyDescent="0.35">
      <c r="A10" t="s">
        <v>109</v>
      </c>
      <c r="B10" s="3">
        <v>6</v>
      </c>
      <c r="C10" s="64" t="s">
        <v>341</v>
      </c>
      <c r="D10" s="13" t="s">
        <v>51</v>
      </c>
      <c r="E10" s="13" t="s">
        <v>70</v>
      </c>
      <c r="F10" s="26" t="s">
        <v>68</v>
      </c>
      <c r="G10" s="14">
        <f>2.5*5</f>
        <v>12.5</v>
      </c>
      <c r="H10" s="14">
        <f t="shared" ref="H10:H43" si="17">G10</f>
        <v>12.5</v>
      </c>
      <c r="I10" s="15">
        <v>1</v>
      </c>
      <c r="J10" s="41"/>
      <c r="K10" s="19">
        <f t="shared" si="0"/>
        <v>1</v>
      </c>
      <c r="L10" s="41">
        <v>0</v>
      </c>
      <c r="M10" s="17">
        <v>0</v>
      </c>
      <c r="N10" s="17">
        <f>VLOOKUP(A10,Data!A:B,2,FALSE)</f>
        <v>2</v>
      </c>
      <c r="O10" s="19">
        <f t="shared" ref="O10:O43" si="18">L10</f>
        <v>0</v>
      </c>
      <c r="P10" s="16">
        <v>22</v>
      </c>
      <c r="Q10" s="14" t="s">
        <v>31</v>
      </c>
      <c r="R10" s="12">
        <f>VLOOKUP(A10,Data!A:D,4,FALSE)</f>
        <v>0</v>
      </c>
      <c r="S10" s="17">
        <f>VLOOKUP(A10,Data!A:C,3,FALSE)</f>
        <v>0</v>
      </c>
      <c r="T10" s="17"/>
      <c r="U10" s="17">
        <f t="shared" si="1"/>
        <v>0</v>
      </c>
      <c r="V10" s="29">
        <v>10</v>
      </c>
      <c r="W10" s="93"/>
      <c r="X10" s="62"/>
      <c r="Y10" s="2"/>
      <c r="Z10" s="2">
        <v>10</v>
      </c>
      <c r="AA10" s="31">
        <v>25</v>
      </c>
      <c r="AB10" s="134">
        <v>-15</v>
      </c>
      <c r="AC10" s="132"/>
      <c r="AD10" s="93" t="str">
        <f t="shared" si="6"/>
        <v>Negative</v>
      </c>
      <c r="AE10" s="107">
        <f t="shared" si="7"/>
        <v>0.48</v>
      </c>
      <c r="AF10" s="106" t="b">
        <f t="shared" si="8"/>
        <v>1</v>
      </c>
      <c r="AG10" s="16"/>
      <c r="AH10" s="17"/>
      <c r="AI10" s="18"/>
      <c r="AJ10" s="20"/>
      <c r="AK10" s="16">
        <f>VLOOKUP(A10,Data!A:F,6,FALSE)</f>
        <v>10</v>
      </c>
      <c r="AL10" s="18">
        <f t="shared" si="2"/>
        <v>0.125</v>
      </c>
      <c r="AM10" s="20">
        <f t="shared" ref="AM10:AM43" si="19">AL10</f>
        <v>0.125</v>
      </c>
      <c r="AN10" s="21"/>
      <c r="AO10" s="22"/>
      <c r="AP10" s="152">
        <v>1</v>
      </c>
      <c r="AQ10" s="152">
        <f t="shared" si="3"/>
        <v>0</v>
      </c>
      <c r="AR10" s="162">
        <v>0</v>
      </c>
      <c r="AS10" s="17">
        <f>IF(AR10&lt;=Sheet2!$D$2,Sheet2!$C$2,IF(AR10&lt;=Sheet2!$D$3,Sheet2!$C$3,IF(AR10&lt;=Sheet2!$D$4,Sheet2!$C$4,IF(AR10&lt;=Sheet2!$D$5,Sheet2!$C$5,IF(AR10&lt;=Sheet2!$D$6,Sheet2!$C$6,IF(AR10&lt;=Sheet2!$D$7,Sheet2!$C$7,IF(AR10&lt;=Sheet2!$D$8,Sheet2!$C$8,IF(AR10&lt;=Sheet2!$D$9,Sheet2!$C$9,IF(AR10&lt;=Sheet2!$D$10,Sheet2!$C$10,IF(AR10&lt;=Sheet2!$D$11,Sheet2!$C$11,0))))))))))</f>
        <v>150</v>
      </c>
      <c r="AT10" s="2">
        <f t="shared" si="9"/>
        <v>140</v>
      </c>
      <c r="AU10" s="22"/>
      <c r="AV10" s="22"/>
      <c r="AW10" s="22"/>
      <c r="AX10" s="22"/>
      <c r="AY10" s="22">
        <f t="shared" si="4"/>
        <v>12</v>
      </c>
      <c r="AZ10" s="39">
        <f t="shared" si="10"/>
        <v>0</v>
      </c>
      <c r="BA10" s="161" t="s">
        <v>373</v>
      </c>
      <c r="BB10" s="31" t="s">
        <v>369</v>
      </c>
    </row>
    <row r="11" spans="1:54" ht="15" hidden="1" thickBot="1" x14ac:dyDescent="0.35">
      <c r="A11" t="s">
        <v>111</v>
      </c>
      <c r="B11" s="3">
        <v>7</v>
      </c>
      <c r="C11" s="64" t="s">
        <v>341</v>
      </c>
      <c r="D11" s="27" t="s">
        <v>52</v>
      </c>
      <c r="E11" s="27" t="s">
        <v>71</v>
      </c>
      <c r="F11" s="28" t="s">
        <v>69</v>
      </c>
      <c r="G11" s="29">
        <f>4*5</f>
        <v>20</v>
      </c>
      <c r="H11" s="47">
        <f t="shared" si="17"/>
        <v>20</v>
      </c>
      <c r="I11" s="30">
        <v>12</v>
      </c>
      <c r="J11" s="42"/>
      <c r="K11" s="49">
        <f t="shared" si="0"/>
        <v>12</v>
      </c>
      <c r="L11" s="42">
        <v>0</v>
      </c>
      <c r="M11" s="2">
        <v>0</v>
      </c>
      <c r="N11" s="2">
        <f>VLOOKUP(A11,Data!A:B,2,FALSE)</f>
        <v>0</v>
      </c>
      <c r="O11" s="31">
        <f t="shared" si="18"/>
        <v>0</v>
      </c>
      <c r="P11" s="32">
        <v>26</v>
      </c>
      <c r="Q11" s="29" t="s">
        <v>31</v>
      </c>
      <c r="R11" s="33">
        <f>VLOOKUP(A11,Data!A:D,4,FALSE)</f>
        <v>0</v>
      </c>
      <c r="S11" s="2">
        <f>VLOOKUP(A11,Data!A:C,3,FALSE)</f>
        <v>0</v>
      </c>
      <c r="T11" s="2">
        <v>2</v>
      </c>
      <c r="U11" s="2">
        <f t="shared" ref="U11:U13" si="20">T11*G11*3/3.6</f>
        <v>33.333333333333336</v>
      </c>
      <c r="V11" s="29">
        <f t="shared" ref="V11:V69" si="21">CEILING(U11,5)</f>
        <v>35</v>
      </c>
      <c r="W11" s="93"/>
      <c r="X11" s="62"/>
      <c r="Y11" s="2"/>
      <c r="Z11" s="2">
        <f t="shared" ref="Z11:Z13" si="22">U11/0.85</f>
        <v>39.215686274509807</v>
      </c>
      <c r="AA11" s="31">
        <v>40</v>
      </c>
      <c r="AB11" s="92">
        <v>-40</v>
      </c>
      <c r="AC11" s="132"/>
      <c r="AD11" s="93" t="str">
        <f t="shared" si="6"/>
        <v>Negative</v>
      </c>
      <c r="AE11" s="107">
        <f t="shared" si="7"/>
        <v>0.3</v>
      </c>
      <c r="AF11" s="106" t="b">
        <f t="shared" si="8"/>
        <v>1</v>
      </c>
      <c r="AG11" s="32"/>
      <c r="AH11" s="2"/>
      <c r="AI11" s="35"/>
      <c r="AJ11" s="36"/>
      <c r="AK11" s="32">
        <f>VLOOKUP(A11,Data!A:F,6,FALSE)</f>
        <v>10</v>
      </c>
      <c r="AL11" s="35">
        <f t="shared" si="2"/>
        <v>0.2</v>
      </c>
      <c r="AM11" s="36">
        <f t="shared" si="19"/>
        <v>0.2</v>
      </c>
      <c r="AN11" s="37"/>
      <c r="AO11" s="38"/>
      <c r="AP11" s="151">
        <v>1</v>
      </c>
      <c r="AQ11" s="151">
        <f t="shared" si="3"/>
        <v>0</v>
      </c>
      <c r="AR11" s="161">
        <v>1.7</v>
      </c>
      <c r="AS11" s="2">
        <f>IF(AR11&lt;=Sheet2!$D$2,Sheet2!$C$2,IF(AR11&lt;=Sheet2!$D$3,Sheet2!$C$3,IF(AR11&lt;=Sheet2!$D$4,Sheet2!$C$4,IF(AR11&lt;=Sheet2!$D$5,Sheet2!$C$5,IF(AR11&lt;=Sheet2!$D$6,Sheet2!$C$6,IF(AR11&lt;=Sheet2!$D$7,Sheet2!$C$7,IF(AR11&lt;=Sheet2!$D$8,Sheet2!$C$8,IF(AR11&lt;=Sheet2!$D$9,Sheet2!$C$9,IF(AR11&lt;=Sheet2!$D$10,Sheet2!$C$10,IF(AR11&lt;=Sheet2!$D$11,Sheet2!$C$11,0))))))))))</f>
        <v>150</v>
      </c>
      <c r="AT11" s="2">
        <f t="shared" si="9"/>
        <v>115</v>
      </c>
      <c r="AU11" s="38"/>
      <c r="AV11" s="38"/>
      <c r="AW11" s="38"/>
      <c r="AX11" s="38"/>
      <c r="AY11" s="38">
        <f t="shared" si="4"/>
        <v>7.5</v>
      </c>
      <c r="AZ11" s="39">
        <f t="shared" si="10"/>
        <v>288.99999999999994</v>
      </c>
      <c r="BA11" s="161" t="s">
        <v>373</v>
      </c>
      <c r="BB11" s="31" t="str">
        <f>IF(AR11&lt;=Sheet2!$D$2,Sheet2!$B$2,IF(AR11&lt;=Sheet2!$D$3,Sheet2!$B$3,IF(AR11&lt;=Sheet2!$D$4,Sheet2!$B$4,IF(AR11&lt;=Sheet2!$D$5,Sheet2!$B$5,IF(AR11&lt;=Sheet2!$D$6,Sheet2!$B$6,IF(AR11&lt;=Sheet2!$D$7,Sheet2!$B$7,IF(AR11&lt;=Sheet2!$D$8,Sheet2!$B$8,IF(AR11&lt;=Sheet2!$D$9,Sheet2!$B$9,IF(AR11&lt;=Sheet2!$D$10,Sheet2!$B$10,IF(AR11&lt;=Sheet2!$D$11,Sheet2!$B$11,0))))))))))</f>
        <v>FXSQ25A</v>
      </c>
    </row>
    <row r="12" spans="1:54" ht="13.95" hidden="1" customHeight="1" thickBot="1" x14ac:dyDescent="0.35">
      <c r="A12" t="s">
        <v>111</v>
      </c>
      <c r="B12" s="3">
        <v>8</v>
      </c>
      <c r="C12" s="64" t="s">
        <v>341</v>
      </c>
      <c r="D12" s="13" t="s">
        <v>53</v>
      </c>
      <c r="E12" s="13" t="s">
        <v>71</v>
      </c>
      <c r="F12" s="26" t="s">
        <v>69</v>
      </c>
      <c r="G12" s="14">
        <f>4*5</f>
        <v>20</v>
      </c>
      <c r="H12" s="14">
        <f t="shared" si="17"/>
        <v>20</v>
      </c>
      <c r="I12" s="15">
        <v>12</v>
      </c>
      <c r="J12" s="41"/>
      <c r="K12" s="19">
        <f t="shared" si="0"/>
        <v>12</v>
      </c>
      <c r="L12" s="41">
        <v>0</v>
      </c>
      <c r="M12" s="17">
        <v>0</v>
      </c>
      <c r="N12" s="17">
        <f>VLOOKUP(A12,Data!A:B,2,FALSE)</f>
        <v>0</v>
      </c>
      <c r="O12" s="19">
        <f t="shared" si="18"/>
        <v>0</v>
      </c>
      <c r="P12" s="16">
        <v>22</v>
      </c>
      <c r="Q12" s="14" t="s">
        <v>31</v>
      </c>
      <c r="R12" s="12">
        <f>VLOOKUP(A12,Data!A:D,4,FALSE)</f>
        <v>0</v>
      </c>
      <c r="S12" s="17">
        <f>VLOOKUP(A12,Data!A:C,3,FALSE)</f>
        <v>0</v>
      </c>
      <c r="T12" s="2">
        <v>2</v>
      </c>
      <c r="U12" s="2">
        <f t="shared" si="20"/>
        <v>33.333333333333336</v>
      </c>
      <c r="V12" s="29">
        <f t="shared" si="21"/>
        <v>35</v>
      </c>
      <c r="W12" s="93"/>
      <c r="X12" s="62"/>
      <c r="Y12" s="2"/>
      <c r="Z12" s="2">
        <f t="shared" si="22"/>
        <v>39.215686274509807</v>
      </c>
      <c r="AA12" s="31">
        <v>40</v>
      </c>
      <c r="AB12" s="92">
        <v>-40</v>
      </c>
      <c r="AC12" s="132"/>
      <c r="AD12" s="93" t="str">
        <f t="shared" si="6"/>
        <v>Negative</v>
      </c>
      <c r="AE12" s="107">
        <f t="shared" si="7"/>
        <v>0.3</v>
      </c>
      <c r="AF12" s="106" t="b">
        <f t="shared" si="8"/>
        <v>1</v>
      </c>
      <c r="AG12" s="16"/>
      <c r="AH12" s="17"/>
      <c r="AI12" s="18"/>
      <c r="AJ12" s="20"/>
      <c r="AK12" s="16">
        <f>VLOOKUP(A12,Data!A:F,6,FALSE)</f>
        <v>10</v>
      </c>
      <c r="AL12" s="18">
        <f t="shared" si="2"/>
        <v>0.2</v>
      </c>
      <c r="AM12" s="20">
        <f t="shared" si="19"/>
        <v>0.2</v>
      </c>
      <c r="AN12" s="21"/>
      <c r="AO12" s="22"/>
      <c r="AP12" s="152">
        <v>1</v>
      </c>
      <c r="AQ12" s="152">
        <f t="shared" si="3"/>
        <v>0</v>
      </c>
      <c r="AR12" s="162">
        <v>1.7</v>
      </c>
      <c r="AS12" s="17">
        <f>IF(AR12&lt;=Sheet2!$D$2,Sheet2!$C$2,IF(AR12&lt;=Sheet2!$D$3,Sheet2!$C$3,IF(AR12&lt;=Sheet2!$D$4,Sheet2!$C$4,IF(AR12&lt;=Sheet2!$D$5,Sheet2!$C$5,IF(AR12&lt;=Sheet2!$D$6,Sheet2!$C$6,IF(AR12&lt;=Sheet2!$D$7,Sheet2!$C$7,IF(AR12&lt;=Sheet2!$D$8,Sheet2!$C$8,IF(AR12&lt;=Sheet2!$D$9,Sheet2!$C$9,IF(AR12&lt;=Sheet2!$D$10,Sheet2!$C$10,IF(AR12&lt;=Sheet2!$D$11,Sheet2!$C$11,0))))))))))</f>
        <v>150</v>
      </c>
      <c r="AT12" s="2">
        <f t="shared" si="9"/>
        <v>115</v>
      </c>
      <c r="AU12" s="22"/>
      <c r="AV12" s="22"/>
      <c r="AW12" s="22"/>
      <c r="AX12" s="22"/>
      <c r="AY12" s="22">
        <f t="shared" si="4"/>
        <v>7.5</v>
      </c>
      <c r="AZ12" s="39">
        <f t="shared" si="10"/>
        <v>288.99999999999994</v>
      </c>
      <c r="BA12" s="161" t="s">
        <v>373</v>
      </c>
      <c r="BB12" s="31" t="str">
        <f>IF(AR12&lt;=Sheet2!$D$2,Sheet2!$B$2,IF(AR12&lt;=Sheet2!$D$3,Sheet2!$B$3,IF(AR12&lt;=Sheet2!$D$4,Sheet2!$B$4,IF(AR12&lt;=Sheet2!$D$5,Sheet2!$B$5,IF(AR12&lt;=Sheet2!$D$6,Sheet2!$B$6,IF(AR12&lt;=Sheet2!$D$7,Sheet2!$B$7,IF(AR12&lt;=Sheet2!$D$8,Sheet2!$B$8,IF(AR12&lt;=Sheet2!$D$9,Sheet2!$B$9,IF(AR12&lt;=Sheet2!$D$10,Sheet2!$B$10,IF(AR12&lt;=Sheet2!$D$11,Sheet2!$B$11,0))))))))))</f>
        <v>FXSQ25A</v>
      </c>
    </row>
    <row r="13" spans="1:54" ht="15" hidden="1" thickBot="1" x14ac:dyDescent="0.35">
      <c r="A13" t="s">
        <v>111</v>
      </c>
      <c r="B13" s="3">
        <v>9</v>
      </c>
      <c r="C13" s="64" t="s">
        <v>341</v>
      </c>
      <c r="D13" s="27" t="s">
        <v>54</v>
      </c>
      <c r="E13" s="27" t="s">
        <v>71</v>
      </c>
      <c r="F13" s="28" t="s">
        <v>69</v>
      </c>
      <c r="G13" s="29">
        <f>4*5</f>
        <v>20</v>
      </c>
      <c r="H13" s="47">
        <f t="shared" si="17"/>
        <v>20</v>
      </c>
      <c r="I13" s="30">
        <v>12</v>
      </c>
      <c r="J13" s="42"/>
      <c r="K13" s="49">
        <f t="shared" si="0"/>
        <v>12</v>
      </c>
      <c r="L13" s="42">
        <v>0</v>
      </c>
      <c r="M13" s="2">
        <v>0</v>
      </c>
      <c r="N13" s="2">
        <f>VLOOKUP(A13,Data!A:B,2,FALSE)</f>
        <v>0</v>
      </c>
      <c r="O13" s="31">
        <f t="shared" si="18"/>
        <v>0</v>
      </c>
      <c r="P13" s="32">
        <v>22</v>
      </c>
      <c r="Q13" s="29" t="s">
        <v>31</v>
      </c>
      <c r="R13" s="33">
        <f>VLOOKUP(A13,Data!A:D,4,FALSE)</f>
        <v>0</v>
      </c>
      <c r="S13" s="2">
        <f>VLOOKUP(A13,Data!A:C,3,FALSE)</f>
        <v>0</v>
      </c>
      <c r="T13" s="2">
        <v>2</v>
      </c>
      <c r="U13" s="2">
        <f t="shared" si="20"/>
        <v>33.333333333333336</v>
      </c>
      <c r="V13" s="29">
        <f t="shared" si="21"/>
        <v>35</v>
      </c>
      <c r="W13" s="93"/>
      <c r="X13" s="62"/>
      <c r="Y13" s="2"/>
      <c r="Z13" s="2">
        <f t="shared" si="22"/>
        <v>39.215686274509807</v>
      </c>
      <c r="AA13" s="31">
        <v>40</v>
      </c>
      <c r="AB13" s="92">
        <v>-40</v>
      </c>
      <c r="AC13" s="132"/>
      <c r="AD13" s="93" t="str">
        <f t="shared" si="6"/>
        <v>Negative</v>
      </c>
      <c r="AE13" s="107">
        <f t="shared" si="7"/>
        <v>0.3</v>
      </c>
      <c r="AF13" s="106" t="b">
        <f t="shared" si="8"/>
        <v>1</v>
      </c>
      <c r="AG13" s="32"/>
      <c r="AH13" s="2"/>
      <c r="AI13" s="35"/>
      <c r="AJ13" s="36"/>
      <c r="AK13" s="32">
        <f>VLOOKUP(A13,Data!A:F,6,FALSE)</f>
        <v>10</v>
      </c>
      <c r="AL13" s="35">
        <f t="shared" si="2"/>
        <v>0.2</v>
      </c>
      <c r="AM13" s="36">
        <f t="shared" si="19"/>
        <v>0.2</v>
      </c>
      <c r="AN13" s="37"/>
      <c r="AO13" s="38"/>
      <c r="AP13" s="151">
        <v>1</v>
      </c>
      <c r="AQ13" s="151">
        <f t="shared" si="3"/>
        <v>0</v>
      </c>
      <c r="AR13" s="161">
        <v>1.7</v>
      </c>
      <c r="AS13" s="2">
        <f>IF(AR13&lt;=Sheet2!$D$2,Sheet2!$C$2,IF(AR13&lt;=Sheet2!$D$3,Sheet2!$C$3,IF(AR13&lt;=Sheet2!$D$4,Sheet2!$C$4,IF(AR13&lt;=Sheet2!$D$5,Sheet2!$C$5,IF(AR13&lt;=Sheet2!$D$6,Sheet2!$C$6,IF(AR13&lt;=Sheet2!$D$7,Sheet2!$C$7,IF(AR13&lt;=Sheet2!$D$8,Sheet2!$C$8,IF(AR13&lt;=Sheet2!$D$9,Sheet2!$C$9,IF(AR13&lt;=Sheet2!$D$10,Sheet2!$C$10,IF(AR13&lt;=Sheet2!$D$11,Sheet2!$C$11,0))))))))))</f>
        <v>150</v>
      </c>
      <c r="AT13" s="2">
        <f t="shared" si="9"/>
        <v>115</v>
      </c>
      <c r="AU13" s="38"/>
      <c r="AV13" s="38"/>
      <c r="AW13" s="38"/>
      <c r="AX13" s="38"/>
      <c r="AY13" s="38">
        <f t="shared" si="4"/>
        <v>7.5</v>
      </c>
      <c r="AZ13" s="39">
        <f t="shared" si="10"/>
        <v>288.99999999999994</v>
      </c>
      <c r="BA13" s="161" t="s">
        <v>373</v>
      </c>
      <c r="BB13" s="31" t="str">
        <f>IF(AR13&lt;=Sheet2!$D$2,Sheet2!$B$2,IF(AR13&lt;=Sheet2!$D$3,Sheet2!$B$3,IF(AR13&lt;=Sheet2!$D$4,Sheet2!$B$4,IF(AR13&lt;=Sheet2!$D$5,Sheet2!$B$5,IF(AR13&lt;=Sheet2!$D$6,Sheet2!$B$6,IF(AR13&lt;=Sheet2!$D$7,Sheet2!$B$7,IF(AR13&lt;=Sheet2!$D$8,Sheet2!$B$8,IF(AR13&lt;=Sheet2!$D$9,Sheet2!$B$9,IF(AR13&lt;=Sheet2!$D$10,Sheet2!$B$10,IF(AR13&lt;=Sheet2!$D$11,Sheet2!$B$11,0))))))))))</f>
        <v>FXSQ25A</v>
      </c>
    </row>
    <row r="14" spans="1:54" ht="13.95" hidden="1" customHeight="1" thickBot="1" x14ac:dyDescent="0.35">
      <c r="A14" t="s">
        <v>110</v>
      </c>
      <c r="B14" s="3">
        <v>10</v>
      </c>
      <c r="C14" s="64" t="s">
        <v>341</v>
      </c>
      <c r="D14" s="13" t="s">
        <v>55</v>
      </c>
      <c r="E14" s="13" t="s">
        <v>77</v>
      </c>
      <c r="F14" s="26" t="s">
        <v>74</v>
      </c>
      <c r="G14" s="14">
        <f>5*4.2</f>
        <v>21</v>
      </c>
      <c r="H14" s="14">
        <f t="shared" si="17"/>
        <v>21</v>
      </c>
      <c r="I14" s="15">
        <v>4</v>
      </c>
      <c r="J14" s="41"/>
      <c r="K14" s="19">
        <v>0</v>
      </c>
      <c r="L14" s="41">
        <v>0</v>
      </c>
      <c r="M14" s="17">
        <v>0</v>
      </c>
      <c r="N14" s="17">
        <f>VLOOKUP(A14,Data!A:B,2,FALSE)</f>
        <v>0</v>
      </c>
      <c r="O14" s="19">
        <f t="shared" si="18"/>
        <v>0</v>
      </c>
      <c r="P14" s="16">
        <v>22</v>
      </c>
      <c r="Q14" s="14" t="s">
        <v>31</v>
      </c>
      <c r="R14" s="12">
        <f>VLOOKUP(A14,Data!A:D,4,FALSE)</f>
        <v>0</v>
      </c>
      <c r="S14" s="17">
        <f>VLOOKUP(A14,Data!A:C,3,FALSE)</f>
        <v>0</v>
      </c>
      <c r="T14" s="17"/>
      <c r="U14" s="31">
        <f>AA14*0.85</f>
        <v>106.25</v>
      </c>
      <c r="V14" s="29">
        <v>0</v>
      </c>
      <c r="W14" s="93">
        <v>115</v>
      </c>
      <c r="X14" s="62">
        <v>25</v>
      </c>
      <c r="Y14" s="2">
        <v>5</v>
      </c>
      <c r="Z14" s="2">
        <f>Y14*X14</f>
        <v>125</v>
      </c>
      <c r="AA14" s="31">
        <v>125</v>
      </c>
      <c r="AB14" s="92">
        <v>-125</v>
      </c>
      <c r="AC14" s="132"/>
      <c r="AD14" s="93" t="str">
        <f t="shared" si="6"/>
        <v>Negative</v>
      </c>
      <c r="AE14" s="107">
        <f t="shared" si="7"/>
        <v>0.56999999999999995</v>
      </c>
      <c r="AF14" s="106" t="b">
        <f t="shared" si="8"/>
        <v>1</v>
      </c>
      <c r="AG14" s="16"/>
      <c r="AH14" s="17"/>
      <c r="AI14" s="18"/>
      <c r="AJ14" s="20"/>
      <c r="AK14" s="16">
        <f>VLOOKUP(A14,Data!A:F,6,FALSE)</f>
        <v>10</v>
      </c>
      <c r="AL14" s="18">
        <f t="shared" si="2"/>
        <v>0.21</v>
      </c>
      <c r="AM14" s="20">
        <f t="shared" si="19"/>
        <v>0.21</v>
      </c>
      <c r="AN14" s="21"/>
      <c r="AO14" s="22"/>
      <c r="AP14" s="152">
        <v>1</v>
      </c>
      <c r="AQ14" s="152">
        <f t="shared" si="3"/>
        <v>0</v>
      </c>
      <c r="AR14" s="162">
        <v>2.8</v>
      </c>
      <c r="AS14" s="17">
        <f>IF(AR14&lt;=Sheet2!$D$2,Sheet2!$C$2,IF(AR14&lt;=Sheet2!$D$3,Sheet2!$C$3,IF(AR14&lt;=Sheet2!$D$4,Sheet2!$C$4,IF(AR14&lt;=Sheet2!$D$5,Sheet2!$C$5,IF(AR14&lt;=Sheet2!$D$6,Sheet2!$C$6,IF(AR14&lt;=Sheet2!$D$7,Sheet2!$C$7,IF(AR14&lt;=Sheet2!$D$8,Sheet2!$C$8,IF(AR14&lt;=Sheet2!$D$9,Sheet2!$C$9,IF(AR14&lt;=Sheet2!$D$10,Sheet2!$C$10,IF(AR14&lt;=Sheet2!$D$11,Sheet2!$C$11,0))))))))))</f>
        <v>250</v>
      </c>
      <c r="AT14" s="2">
        <f t="shared" si="9"/>
        <v>250</v>
      </c>
      <c r="AU14" s="22"/>
      <c r="AV14" s="22"/>
      <c r="AW14" s="22"/>
      <c r="AX14" s="22"/>
      <c r="AY14" s="22">
        <f t="shared" si="4"/>
        <v>11.904761904761905</v>
      </c>
      <c r="AZ14" s="39">
        <f t="shared" si="10"/>
        <v>453.33333333333337</v>
      </c>
      <c r="BA14" s="161" t="s">
        <v>373</v>
      </c>
      <c r="BB14" s="31" t="s">
        <v>380</v>
      </c>
    </row>
    <row r="15" spans="1:54" ht="15" hidden="1" thickBot="1" x14ac:dyDescent="0.35">
      <c r="A15" t="s">
        <v>109</v>
      </c>
      <c r="B15" s="3">
        <v>11</v>
      </c>
      <c r="C15" s="64" t="s">
        <v>341</v>
      </c>
      <c r="D15" s="27" t="s">
        <v>56</v>
      </c>
      <c r="E15" s="27" t="s">
        <v>78</v>
      </c>
      <c r="F15" s="28" t="s">
        <v>75</v>
      </c>
      <c r="G15" s="29">
        <f>5*5.4</f>
        <v>27</v>
      </c>
      <c r="H15" s="47">
        <f t="shared" si="17"/>
        <v>27</v>
      </c>
      <c r="I15" s="30">
        <v>1</v>
      </c>
      <c r="J15" s="42"/>
      <c r="K15" s="49">
        <f t="shared" ref="K15:K27" si="23">I15</f>
        <v>1</v>
      </c>
      <c r="L15" s="42">
        <v>0</v>
      </c>
      <c r="M15" s="2">
        <v>0</v>
      </c>
      <c r="N15" s="2">
        <f>VLOOKUP(A15,Data!A:B,2,FALSE)</f>
        <v>2</v>
      </c>
      <c r="O15" s="31">
        <f t="shared" si="18"/>
        <v>0</v>
      </c>
      <c r="P15" s="32">
        <v>22</v>
      </c>
      <c r="Q15" s="29" t="s">
        <v>31</v>
      </c>
      <c r="R15" s="33">
        <f>VLOOKUP(A15,Data!A:D,4,FALSE)</f>
        <v>0</v>
      </c>
      <c r="S15" s="2">
        <f>VLOOKUP(A15,Data!A:C,3,FALSE)</f>
        <v>0</v>
      </c>
      <c r="T15" s="2">
        <v>2</v>
      </c>
      <c r="U15" s="2">
        <f>T15*G15*3/3.6</f>
        <v>45</v>
      </c>
      <c r="V15" s="29">
        <v>45</v>
      </c>
      <c r="W15" s="93"/>
      <c r="X15" s="62"/>
      <c r="Y15" s="2"/>
      <c r="Z15" s="2">
        <f>U15/0.85</f>
        <v>52.941176470588239</v>
      </c>
      <c r="AA15" s="31">
        <v>55</v>
      </c>
      <c r="AB15" s="92">
        <v>-55</v>
      </c>
      <c r="AC15" s="132"/>
      <c r="AD15" s="93" t="str">
        <f t="shared" si="6"/>
        <v>Negative</v>
      </c>
      <c r="AE15" s="107">
        <f t="shared" si="7"/>
        <v>0.44</v>
      </c>
      <c r="AF15" s="106" t="b">
        <f t="shared" si="8"/>
        <v>1</v>
      </c>
      <c r="AG15" s="32"/>
      <c r="AH15" s="2"/>
      <c r="AI15" s="35"/>
      <c r="AJ15" s="36"/>
      <c r="AK15" s="32">
        <f>VLOOKUP(A15,Data!A:F,6,FALSE)</f>
        <v>10</v>
      </c>
      <c r="AL15" s="35">
        <f t="shared" si="2"/>
        <v>0.27</v>
      </c>
      <c r="AM15" s="36">
        <f t="shared" si="19"/>
        <v>0.27</v>
      </c>
      <c r="AN15" s="37"/>
      <c r="AO15" s="38"/>
      <c r="AP15" s="151">
        <v>1</v>
      </c>
      <c r="AQ15" s="151">
        <f t="shared" si="3"/>
        <v>0</v>
      </c>
      <c r="AR15" s="161">
        <v>1.9</v>
      </c>
      <c r="AS15" s="2">
        <f>IF(AR15&lt;=Sheet2!$D$2,Sheet2!$C$2,IF(AR15&lt;=Sheet2!$D$3,Sheet2!$C$3,IF(AR15&lt;=Sheet2!$D$4,Sheet2!$C$4,IF(AR15&lt;=Sheet2!$D$5,Sheet2!$C$5,IF(AR15&lt;=Sheet2!$D$6,Sheet2!$C$6,IF(AR15&lt;=Sheet2!$D$7,Sheet2!$C$7,IF(AR15&lt;=Sheet2!$D$8,Sheet2!$C$8,IF(AR15&lt;=Sheet2!$D$9,Sheet2!$C$9,IF(AR15&lt;=Sheet2!$D$10,Sheet2!$C$10,IF(AR15&lt;=Sheet2!$D$11,Sheet2!$C$11,0))))))))))</f>
        <v>158</v>
      </c>
      <c r="AT15" s="2">
        <f t="shared" si="9"/>
        <v>113</v>
      </c>
      <c r="AU15" s="38"/>
      <c r="AV15" s="38"/>
      <c r="AW15" s="38"/>
      <c r="AX15" s="38"/>
      <c r="AY15" s="38">
        <f t="shared" si="4"/>
        <v>5.8518518518518521</v>
      </c>
      <c r="AZ15" s="39">
        <f t="shared" si="10"/>
        <v>239.25925925925924</v>
      </c>
      <c r="BA15" s="161" t="s">
        <v>373</v>
      </c>
      <c r="BB15" s="31" t="str">
        <f>IF(AR15&lt;=Sheet2!$D$2,Sheet2!$B$2,IF(AR15&lt;=Sheet2!$D$3,Sheet2!$B$3,IF(AR15&lt;=Sheet2!$D$4,Sheet2!$B$4,IF(AR15&lt;=Sheet2!$D$5,Sheet2!$B$5,IF(AR15&lt;=Sheet2!$D$6,Sheet2!$B$6,IF(AR15&lt;=Sheet2!$D$7,Sheet2!$B$7,IF(AR15&lt;=Sheet2!$D$8,Sheet2!$B$8,IF(AR15&lt;=Sheet2!$D$9,Sheet2!$B$9,IF(AR15&lt;=Sheet2!$D$10,Sheet2!$B$10,IF(AR15&lt;=Sheet2!$D$11,Sheet2!$B$11,0))))))))))</f>
        <v>FXSQ32A</v>
      </c>
    </row>
    <row r="16" spans="1:54" ht="13.95" hidden="1" customHeight="1" thickBot="1" x14ac:dyDescent="0.35">
      <c r="A16" t="s">
        <v>111</v>
      </c>
      <c r="B16" s="3">
        <v>12</v>
      </c>
      <c r="C16" s="64" t="s">
        <v>341</v>
      </c>
      <c r="D16" s="13" t="s">
        <v>57</v>
      </c>
      <c r="E16" s="13" t="s">
        <v>172</v>
      </c>
      <c r="F16" s="26" t="s">
        <v>76</v>
      </c>
      <c r="G16" s="14">
        <f>5*4</f>
        <v>20</v>
      </c>
      <c r="H16" s="14">
        <f t="shared" si="17"/>
        <v>20</v>
      </c>
      <c r="I16" s="15">
        <v>2</v>
      </c>
      <c r="J16" s="41"/>
      <c r="K16" s="19">
        <f t="shared" si="23"/>
        <v>2</v>
      </c>
      <c r="L16" s="41">
        <v>0</v>
      </c>
      <c r="M16" s="17">
        <v>0</v>
      </c>
      <c r="N16" s="17">
        <f>VLOOKUP(A16,Data!A:B,2,FALSE)</f>
        <v>0</v>
      </c>
      <c r="O16" s="19">
        <f t="shared" si="18"/>
        <v>0</v>
      </c>
      <c r="P16" s="16">
        <v>22</v>
      </c>
      <c r="Q16" s="14" t="s">
        <v>31</v>
      </c>
      <c r="R16" s="12">
        <f>VLOOKUP(A16,Data!A:D,4,FALSE)</f>
        <v>0</v>
      </c>
      <c r="S16" s="17">
        <f>VLOOKUP(A16,Data!A:C,3,FALSE)</f>
        <v>0</v>
      </c>
      <c r="T16" s="2">
        <v>2</v>
      </c>
      <c r="U16" s="2">
        <f t="shared" ref="U16:U19" si="24">T16*G16*3/3.6</f>
        <v>33.333333333333336</v>
      </c>
      <c r="V16" s="29">
        <f t="shared" si="21"/>
        <v>35</v>
      </c>
      <c r="W16" s="93"/>
      <c r="X16" s="62"/>
      <c r="Y16" s="2"/>
      <c r="Z16" s="2">
        <f t="shared" ref="Z16:Z19" si="25">U16/0.85</f>
        <v>39.215686274509807</v>
      </c>
      <c r="AA16" s="31">
        <f t="shared" si="5"/>
        <v>40</v>
      </c>
      <c r="AB16" s="92">
        <f>(CEILING(AA16,1))*-1</f>
        <v>-40</v>
      </c>
      <c r="AC16" s="132"/>
      <c r="AD16" s="93" t="str">
        <f t="shared" si="6"/>
        <v>Negative</v>
      </c>
      <c r="AE16" s="107">
        <f t="shared" si="7"/>
        <v>0.3</v>
      </c>
      <c r="AF16" s="106" t="b">
        <f t="shared" si="8"/>
        <v>1</v>
      </c>
      <c r="AG16" s="16"/>
      <c r="AH16" s="17"/>
      <c r="AI16" s="18"/>
      <c r="AJ16" s="20"/>
      <c r="AK16" s="16">
        <f>VLOOKUP(A16,Data!A:F,6,FALSE)</f>
        <v>10</v>
      </c>
      <c r="AL16" s="18">
        <f t="shared" si="2"/>
        <v>0.2</v>
      </c>
      <c r="AM16" s="20">
        <f t="shared" si="19"/>
        <v>0.2</v>
      </c>
      <c r="AN16" s="21"/>
      <c r="AO16" s="22"/>
      <c r="AP16" s="152">
        <v>1</v>
      </c>
      <c r="AQ16" s="152">
        <f t="shared" si="3"/>
        <v>0</v>
      </c>
      <c r="AR16" s="162">
        <v>2.4</v>
      </c>
      <c r="AS16" s="17">
        <f>IF(AR16&lt;=Sheet2!$D$2,Sheet2!$C$2,IF(AR16&lt;=Sheet2!$D$3,Sheet2!$C$3,IF(AR16&lt;=Sheet2!$D$4,Sheet2!$C$4,IF(AR16&lt;=Sheet2!$D$5,Sheet2!$C$5,IF(AR16&lt;=Sheet2!$D$6,Sheet2!$C$6,IF(AR16&lt;=Sheet2!$D$7,Sheet2!$C$7,IF(AR16&lt;=Sheet2!$D$8,Sheet2!$C$8,IF(AR16&lt;=Sheet2!$D$9,Sheet2!$C$9,IF(AR16&lt;=Sheet2!$D$10,Sheet2!$C$10,IF(AR16&lt;=Sheet2!$D$11,Sheet2!$C$11,0))))))))))</f>
        <v>158</v>
      </c>
      <c r="AT16" s="2">
        <f t="shared" si="9"/>
        <v>123</v>
      </c>
      <c r="AU16" s="22"/>
      <c r="AV16" s="22"/>
      <c r="AW16" s="22"/>
      <c r="AX16" s="22"/>
      <c r="AY16" s="22">
        <f t="shared" si="4"/>
        <v>7.9</v>
      </c>
      <c r="AZ16" s="39">
        <f t="shared" si="10"/>
        <v>408</v>
      </c>
      <c r="BA16" s="161" t="s">
        <v>373</v>
      </c>
      <c r="BB16" s="31" t="str">
        <f>IF(AR16&lt;=Sheet2!$D$2,Sheet2!$B$2,IF(AR16&lt;=Sheet2!$D$3,Sheet2!$B$3,IF(AR16&lt;=Sheet2!$D$4,Sheet2!$B$4,IF(AR16&lt;=Sheet2!$D$5,Sheet2!$B$5,IF(AR16&lt;=Sheet2!$D$6,Sheet2!$B$6,IF(AR16&lt;=Sheet2!$D$7,Sheet2!$B$7,IF(AR16&lt;=Sheet2!$D$8,Sheet2!$B$8,IF(AR16&lt;=Sheet2!$D$9,Sheet2!$B$9,IF(AR16&lt;=Sheet2!$D$10,Sheet2!$B$10,IF(AR16&lt;=Sheet2!$D$11,Sheet2!$B$11,0))))))))))</f>
        <v>FXSQ32A</v>
      </c>
    </row>
    <row r="17" spans="1:54" ht="15" hidden="1" thickBot="1" x14ac:dyDescent="0.35">
      <c r="A17" t="s">
        <v>111</v>
      </c>
      <c r="B17" s="3">
        <v>13</v>
      </c>
      <c r="C17" s="64" t="s">
        <v>341</v>
      </c>
      <c r="D17" s="27" t="s">
        <v>58</v>
      </c>
      <c r="E17" s="27" t="s">
        <v>172</v>
      </c>
      <c r="F17" s="28" t="s">
        <v>76</v>
      </c>
      <c r="G17" s="29">
        <f t="shared" ref="G17:G19" si="26">5*4</f>
        <v>20</v>
      </c>
      <c r="H17" s="47">
        <f t="shared" si="17"/>
        <v>20</v>
      </c>
      <c r="I17" s="30">
        <v>2</v>
      </c>
      <c r="J17" s="42"/>
      <c r="K17" s="49">
        <f t="shared" si="23"/>
        <v>2</v>
      </c>
      <c r="L17" s="42">
        <v>0</v>
      </c>
      <c r="M17" s="2">
        <v>0</v>
      </c>
      <c r="N17" s="2">
        <f>VLOOKUP(A17,Data!A:B,2,FALSE)</f>
        <v>0</v>
      </c>
      <c r="O17" s="31">
        <f t="shared" si="18"/>
        <v>0</v>
      </c>
      <c r="P17" s="32">
        <v>22</v>
      </c>
      <c r="Q17" s="29" t="s">
        <v>31</v>
      </c>
      <c r="R17" s="33">
        <f>VLOOKUP(A17,Data!A:D,4,FALSE)</f>
        <v>0</v>
      </c>
      <c r="S17" s="2">
        <f>VLOOKUP(A17,Data!A:C,3,FALSE)</f>
        <v>0</v>
      </c>
      <c r="T17" s="2">
        <v>2</v>
      </c>
      <c r="U17" s="2">
        <f t="shared" si="24"/>
        <v>33.333333333333336</v>
      </c>
      <c r="V17" s="29">
        <f t="shared" si="21"/>
        <v>35</v>
      </c>
      <c r="W17" s="93"/>
      <c r="X17" s="62"/>
      <c r="Y17" s="2"/>
      <c r="Z17" s="2">
        <f t="shared" si="25"/>
        <v>39.215686274509807</v>
      </c>
      <c r="AA17" s="31">
        <f t="shared" si="5"/>
        <v>40</v>
      </c>
      <c r="AB17" s="92">
        <f>(CEILING(AA17,1))*-1</f>
        <v>-40</v>
      </c>
      <c r="AC17" s="132"/>
      <c r="AD17" s="93" t="str">
        <f t="shared" si="6"/>
        <v>Negative</v>
      </c>
      <c r="AE17" s="107">
        <f t="shared" si="7"/>
        <v>0.3</v>
      </c>
      <c r="AF17" s="106" t="b">
        <f t="shared" si="8"/>
        <v>1</v>
      </c>
      <c r="AG17" s="32"/>
      <c r="AH17" s="2"/>
      <c r="AI17" s="35"/>
      <c r="AJ17" s="36"/>
      <c r="AK17" s="32">
        <f>VLOOKUP(A17,Data!A:F,6,FALSE)</f>
        <v>10</v>
      </c>
      <c r="AL17" s="35">
        <f t="shared" si="2"/>
        <v>0.2</v>
      </c>
      <c r="AM17" s="36">
        <f t="shared" si="19"/>
        <v>0.2</v>
      </c>
      <c r="AN17" s="37"/>
      <c r="AO17" s="38"/>
      <c r="AP17" s="151">
        <v>1</v>
      </c>
      <c r="AQ17" s="151">
        <f t="shared" si="3"/>
        <v>0</v>
      </c>
      <c r="AR17" s="161">
        <v>2.4</v>
      </c>
      <c r="AS17" s="2">
        <f>IF(AR17&lt;=Sheet2!$D$2,Sheet2!$C$2,IF(AR17&lt;=Sheet2!$D$3,Sheet2!$C$3,IF(AR17&lt;=Sheet2!$D$4,Sheet2!$C$4,IF(AR17&lt;=Sheet2!$D$5,Sheet2!$C$5,IF(AR17&lt;=Sheet2!$D$6,Sheet2!$C$6,IF(AR17&lt;=Sheet2!$D$7,Sheet2!$C$7,IF(AR17&lt;=Sheet2!$D$8,Sheet2!$C$8,IF(AR17&lt;=Sheet2!$D$9,Sheet2!$C$9,IF(AR17&lt;=Sheet2!$D$10,Sheet2!$C$10,IF(AR17&lt;=Sheet2!$D$11,Sheet2!$C$11,0))))))))))</f>
        <v>158</v>
      </c>
      <c r="AT17" s="2">
        <f t="shared" si="9"/>
        <v>123</v>
      </c>
      <c r="AU17" s="38"/>
      <c r="AV17" s="38"/>
      <c r="AW17" s="38"/>
      <c r="AX17" s="38"/>
      <c r="AY17" s="38">
        <f t="shared" si="4"/>
        <v>7.9</v>
      </c>
      <c r="AZ17" s="39">
        <f t="shared" si="10"/>
        <v>408</v>
      </c>
      <c r="BA17" s="161" t="s">
        <v>373</v>
      </c>
      <c r="BB17" s="31" t="str">
        <f>IF(AR17&lt;=Sheet2!$D$2,Sheet2!$B$2,IF(AR17&lt;=Sheet2!$D$3,Sheet2!$B$3,IF(AR17&lt;=Sheet2!$D$4,Sheet2!$B$4,IF(AR17&lt;=Sheet2!$D$5,Sheet2!$B$5,IF(AR17&lt;=Sheet2!$D$6,Sheet2!$B$6,IF(AR17&lt;=Sheet2!$D$7,Sheet2!$B$7,IF(AR17&lt;=Sheet2!$D$8,Sheet2!$B$8,IF(AR17&lt;=Sheet2!$D$9,Sheet2!$B$9,IF(AR17&lt;=Sheet2!$D$10,Sheet2!$B$10,IF(AR17&lt;=Sheet2!$D$11,Sheet2!$B$11,0))))))))))</f>
        <v>FXSQ32A</v>
      </c>
    </row>
    <row r="18" spans="1:54" ht="13.95" hidden="1" customHeight="1" thickBot="1" x14ac:dyDescent="0.35">
      <c r="A18" t="s">
        <v>111</v>
      </c>
      <c r="B18" s="3">
        <v>14</v>
      </c>
      <c r="C18" s="64" t="s">
        <v>341</v>
      </c>
      <c r="D18" s="13" t="s">
        <v>59</v>
      </c>
      <c r="E18" s="13" t="s">
        <v>172</v>
      </c>
      <c r="F18" s="26" t="s">
        <v>76</v>
      </c>
      <c r="G18" s="14">
        <f t="shared" si="26"/>
        <v>20</v>
      </c>
      <c r="H18" s="14">
        <f t="shared" si="17"/>
        <v>20</v>
      </c>
      <c r="I18" s="15">
        <v>2</v>
      </c>
      <c r="J18" s="41"/>
      <c r="K18" s="19">
        <f t="shared" si="23"/>
        <v>2</v>
      </c>
      <c r="L18" s="41">
        <v>0</v>
      </c>
      <c r="M18" s="17">
        <v>0</v>
      </c>
      <c r="N18" s="17">
        <f>VLOOKUP(A18,Data!A:B,2,FALSE)</f>
        <v>0</v>
      </c>
      <c r="O18" s="19">
        <f t="shared" si="18"/>
        <v>0</v>
      </c>
      <c r="P18" s="16">
        <v>22</v>
      </c>
      <c r="Q18" s="14" t="s">
        <v>31</v>
      </c>
      <c r="R18" s="12">
        <f>VLOOKUP(A18,Data!A:D,4,FALSE)</f>
        <v>0</v>
      </c>
      <c r="S18" s="17">
        <f>VLOOKUP(A18,Data!A:C,3,FALSE)</f>
        <v>0</v>
      </c>
      <c r="T18" s="2">
        <v>2</v>
      </c>
      <c r="U18" s="2">
        <f t="shared" si="24"/>
        <v>33.333333333333336</v>
      </c>
      <c r="V18" s="29">
        <f t="shared" si="21"/>
        <v>35</v>
      </c>
      <c r="W18" s="93"/>
      <c r="X18" s="62"/>
      <c r="Y18" s="2"/>
      <c r="Z18" s="2">
        <f t="shared" si="25"/>
        <v>39.215686274509807</v>
      </c>
      <c r="AA18" s="31">
        <f t="shared" si="5"/>
        <v>40</v>
      </c>
      <c r="AB18" s="92">
        <f>(CEILING(AA18,1))*-1</f>
        <v>-40</v>
      </c>
      <c r="AC18" s="132"/>
      <c r="AD18" s="93" t="str">
        <f t="shared" si="6"/>
        <v>Negative</v>
      </c>
      <c r="AE18" s="107">
        <f t="shared" si="7"/>
        <v>0.3</v>
      </c>
      <c r="AF18" s="106" t="b">
        <f t="shared" si="8"/>
        <v>1</v>
      </c>
      <c r="AG18" s="16"/>
      <c r="AH18" s="17"/>
      <c r="AI18" s="18"/>
      <c r="AJ18" s="20"/>
      <c r="AK18" s="16">
        <f>VLOOKUP(A18,Data!A:F,6,FALSE)</f>
        <v>10</v>
      </c>
      <c r="AL18" s="18">
        <f t="shared" si="2"/>
        <v>0.2</v>
      </c>
      <c r="AM18" s="20">
        <f t="shared" si="19"/>
        <v>0.2</v>
      </c>
      <c r="AN18" s="21"/>
      <c r="AO18" s="22"/>
      <c r="AP18" s="152">
        <v>1</v>
      </c>
      <c r="AQ18" s="152">
        <f t="shared" si="3"/>
        <v>0</v>
      </c>
      <c r="AR18" s="162">
        <v>2.4</v>
      </c>
      <c r="AS18" s="17">
        <f>IF(AR18&lt;=Sheet2!$D$2,Sheet2!$C$2,IF(AR18&lt;=Sheet2!$D$3,Sheet2!$C$3,IF(AR18&lt;=Sheet2!$D$4,Sheet2!$C$4,IF(AR18&lt;=Sheet2!$D$5,Sheet2!$C$5,IF(AR18&lt;=Sheet2!$D$6,Sheet2!$C$6,IF(AR18&lt;=Sheet2!$D$7,Sheet2!$C$7,IF(AR18&lt;=Sheet2!$D$8,Sheet2!$C$8,IF(AR18&lt;=Sheet2!$D$9,Sheet2!$C$9,IF(AR18&lt;=Sheet2!$D$10,Sheet2!$C$10,IF(AR18&lt;=Sheet2!$D$11,Sheet2!$C$11,0))))))))))</f>
        <v>158</v>
      </c>
      <c r="AT18" s="2">
        <f t="shared" si="9"/>
        <v>123</v>
      </c>
      <c r="AU18" s="22"/>
      <c r="AV18" s="22"/>
      <c r="AW18" s="22"/>
      <c r="AX18" s="22"/>
      <c r="AY18" s="22">
        <f t="shared" si="4"/>
        <v>7.9</v>
      </c>
      <c r="AZ18" s="39">
        <f t="shared" si="10"/>
        <v>408</v>
      </c>
      <c r="BA18" s="161" t="s">
        <v>373</v>
      </c>
      <c r="BB18" s="31" t="str">
        <f>IF(AR18&lt;=Sheet2!$D$2,Sheet2!$B$2,IF(AR18&lt;=Sheet2!$D$3,Sheet2!$B$3,IF(AR18&lt;=Sheet2!$D$4,Sheet2!$B$4,IF(AR18&lt;=Sheet2!$D$5,Sheet2!$B$5,IF(AR18&lt;=Sheet2!$D$6,Sheet2!$B$6,IF(AR18&lt;=Sheet2!$D$7,Sheet2!$B$7,IF(AR18&lt;=Sheet2!$D$8,Sheet2!$B$8,IF(AR18&lt;=Sheet2!$D$9,Sheet2!$B$9,IF(AR18&lt;=Sheet2!$D$10,Sheet2!$B$10,IF(AR18&lt;=Sheet2!$D$11,Sheet2!$B$11,0))))))))))</f>
        <v>FXSQ32A</v>
      </c>
    </row>
    <row r="19" spans="1:54" ht="15" hidden="1" thickBot="1" x14ac:dyDescent="0.35">
      <c r="A19" t="s">
        <v>111</v>
      </c>
      <c r="B19" s="3">
        <v>15</v>
      </c>
      <c r="C19" s="64" t="s">
        <v>341</v>
      </c>
      <c r="D19" s="27" t="s">
        <v>73</v>
      </c>
      <c r="E19" s="27" t="s">
        <v>172</v>
      </c>
      <c r="F19" s="28" t="s">
        <v>76</v>
      </c>
      <c r="G19" s="29">
        <f t="shared" si="26"/>
        <v>20</v>
      </c>
      <c r="H19" s="47">
        <f t="shared" si="17"/>
        <v>20</v>
      </c>
      <c r="I19" s="30">
        <v>2</v>
      </c>
      <c r="J19" s="42"/>
      <c r="K19" s="49">
        <f t="shared" si="23"/>
        <v>2</v>
      </c>
      <c r="L19" s="42">
        <v>0</v>
      </c>
      <c r="M19" s="2">
        <v>0</v>
      </c>
      <c r="N19" s="2">
        <f>VLOOKUP(A19,Data!A:B,2,FALSE)</f>
        <v>0</v>
      </c>
      <c r="O19" s="31">
        <f t="shared" si="18"/>
        <v>0</v>
      </c>
      <c r="P19" s="32">
        <v>22</v>
      </c>
      <c r="Q19" s="29" t="s">
        <v>31</v>
      </c>
      <c r="R19" s="33">
        <f>VLOOKUP(A19,Data!A:D,4,FALSE)</f>
        <v>0</v>
      </c>
      <c r="S19" s="2">
        <f>VLOOKUP(A19,Data!A:C,3,FALSE)</f>
        <v>0</v>
      </c>
      <c r="T19" s="2">
        <v>2</v>
      </c>
      <c r="U19" s="2">
        <f t="shared" si="24"/>
        <v>33.333333333333336</v>
      </c>
      <c r="V19" s="29">
        <f t="shared" si="21"/>
        <v>35</v>
      </c>
      <c r="W19" s="93"/>
      <c r="X19" s="62"/>
      <c r="Y19" s="2"/>
      <c r="Z19" s="2">
        <f t="shared" si="25"/>
        <v>39.215686274509807</v>
      </c>
      <c r="AA19" s="31">
        <f t="shared" si="5"/>
        <v>40</v>
      </c>
      <c r="AB19" s="92">
        <f>(CEILING(AA19,1))*-1</f>
        <v>-40</v>
      </c>
      <c r="AC19" s="132"/>
      <c r="AD19" s="93" t="str">
        <f t="shared" si="6"/>
        <v>Negative</v>
      </c>
      <c r="AE19" s="107">
        <f t="shared" si="7"/>
        <v>0.3</v>
      </c>
      <c r="AF19" s="106" t="b">
        <f t="shared" si="8"/>
        <v>1</v>
      </c>
      <c r="AG19" s="32"/>
      <c r="AH19" s="2"/>
      <c r="AI19" s="35"/>
      <c r="AJ19" s="36"/>
      <c r="AK19" s="32">
        <f>VLOOKUP(A19,Data!A:F,6,FALSE)</f>
        <v>10</v>
      </c>
      <c r="AL19" s="35">
        <f t="shared" si="2"/>
        <v>0.2</v>
      </c>
      <c r="AM19" s="36">
        <f t="shared" si="19"/>
        <v>0.2</v>
      </c>
      <c r="AN19" s="37"/>
      <c r="AO19" s="38"/>
      <c r="AP19" s="151">
        <v>1</v>
      </c>
      <c r="AQ19" s="151">
        <f t="shared" si="3"/>
        <v>0</v>
      </c>
      <c r="AR19" s="161">
        <v>2.4</v>
      </c>
      <c r="AS19" s="2">
        <f>IF(AR19&lt;=Sheet2!$D$2,Sheet2!$C$2,IF(AR19&lt;=Sheet2!$D$3,Sheet2!$C$3,IF(AR19&lt;=Sheet2!$D$4,Sheet2!$C$4,IF(AR19&lt;=Sheet2!$D$5,Sheet2!$C$5,IF(AR19&lt;=Sheet2!$D$6,Sheet2!$C$6,IF(AR19&lt;=Sheet2!$D$7,Sheet2!$C$7,IF(AR19&lt;=Sheet2!$D$8,Sheet2!$C$8,IF(AR19&lt;=Sheet2!$D$9,Sheet2!$C$9,IF(AR19&lt;=Sheet2!$D$10,Sheet2!$C$10,IF(AR19&lt;=Sheet2!$D$11,Sheet2!$C$11,0))))))))))</f>
        <v>158</v>
      </c>
      <c r="AT19" s="2">
        <f t="shared" si="9"/>
        <v>123</v>
      </c>
      <c r="AU19" s="38"/>
      <c r="AV19" s="38"/>
      <c r="AW19" s="38"/>
      <c r="AX19" s="38"/>
      <c r="AY19" s="38">
        <f t="shared" si="4"/>
        <v>7.9</v>
      </c>
      <c r="AZ19" s="39">
        <f t="shared" si="10"/>
        <v>408</v>
      </c>
      <c r="BA19" s="161" t="s">
        <v>373</v>
      </c>
      <c r="BB19" s="31" t="str">
        <f>IF(AR19&lt;=Sheet2!$D$2,Sheet2!$B$2,IF(AR19&lt;=Sheet2!$D$3,Sheet2!$B$3,IF(AR19&lt;=Sheet2!$D$4,Sheet2!$B$4,IF(AR19&lt;=Sheet2!$D$5,Sheet2!$B$5,IF(AR19&lt;=Sheet2!$D$6,Sheet2!$B$6,IF(AR19&lt;=Sheet2!$D$7,Sheet2!$B$7,IF(AR19&lt;=Sheet2!$D$8,Sheet2!$B$8,IF(AR19&lt;=Sheet2!$D$9,Sheet2!$B$9,IF(AR19&lt;=Sheet2!$D$10,Sheet2!$B$10,IF(AR19&lt;=Sheet2!$D$11,Sheet2!$B$11,0))))))))))</f>
        <v>FXSQ32A</v>
      </c>
    </row>
    <row r="20" spans="1:54" ht="13.95" hidden="1" customHeight="1" thickBot="1" x14ac:dyDescent="0.35">
      <c r="A20" t="s">
        <v>112</v>
      </c>
      <c r="B20" s="3">
        <v>16</v>
      </c>
      <c r="C20" s="64" t="s">
        <v>341</v>
      </c>
      <c r="D20" s="13" t="s">
        <v>79</v>
      </c>
      <c r="E20" s="13" t="s">
        <v>97</v>
      </c>
      <c r="F20" s="26" t="s">
        <v>96</v>
      </c>
      <c r="G20" s="14">
        <v>98</v>
      </c>
      <c r="H20" s="14">
        <f t="shared" si="17"/>
        <v>98</v>
      </c>
      <c r="I20" s="15">
        <v>9</v>
      </c>
      <c r="J20" s="41"/>
      <c r="K20" s="19">
        <f t="shared" si="23"/>
        <v>9</v>
      </c>
      <c r="L20" s="41">
        <v>0</v>
      </c>
      <c r="M20" s="17">
        <v>0</v>
      </c>
      <c r="N20" s="17">
        <f>VLOOKUP(A20,Data!A:B,2,FALSE)</f>
        <v>50</v>
      </c>
      <c r="O20" s="19">
        <f t="shared" si="18"/>
        <v>0</v>
      </c>
      <c r="P20" s="16">
        <v>22</v>
      </c>
      <c r="Q20" s="14" t="s">
        <v>31</v>
      </c>
      <c r="R20" s="12">
        <f>VLOOKUP(A20,Data!A:D,4,FALSE)</f>
        <v>3.8</v>
      </c>
      <c r="S20" s="17">
        <f>VLOOKUP(A20,Data!A:C,3,FALSE)</f>
        <v>0.3</v>
      </c>
      <c r="T20" s="17"/>
      <c r="U20" s="17">
        <f t="shared" ref="U20:U48" si="27">R20*I20+S20*G20</f>
        <v>63.599999999999994</v>
      </c>
      <c r="V20" s="29">
        <v>200</v>
      </c>
      <c r="W20" s="93">
        <v>-115</v>
      </c>
      <c r="X20" s="62"/>
      <c r="Y20" s="34"/>
      <c r="Z20" s="34">
        <f t="shared" ref="Z20:Z33" si="28">0.85*V20</f>
        <v>170</v>
      </c>
      <c r="AA20" s="31"/>
      <c r="AB20" s="92">
        <v>0</v>
      </c>
      <c r="AC20" s="132"/>
      <c r="AD20" s="93" t="str">
        <f t="shared" si="6"/>
        <v>Positive</v>
      </c>
      <c r="AE20" s="107">
        <f t="shared" si="7"/>
        <v>1.04</v>
      </c>
      <c r="AF20" s="106" t="b">
        <f t="shared" si="8"/>
        <v>0</v>
      </c>
      <c r="AG20" s="16"/>
      <c r="AH20" s="17"/>
      <c r="AI20" s="18"/>
      <c r="AJ20" s="20"/>
      <c r="AK20" s="16">
        <f>VLOOKUP(A20,Data!A:F,6,FALSE)</f>
        <v>10</v>
      </c>
      <c r="AL20" s="18">
        <f t="shared" si="2"/>
        <v>0.98</v>
      </c>
      <c r="AM20" s="20">
        <f t="shared" si="19"/>
        <v>0.98</v>
      </c>
      <c r="AN20" s="21"/>
      <c r="AO20" s="22"/>
      <c r="AP20" s="152">
        <v>2</v>
      </c>
      <c r="AQ20" s="152">
        <f t="shared" si="3"/>
        <v>0</v>
      </c>
      <c r="AR20" s="162">
        <v>3.9</v>
      </c>
      <c r="AS20" s="17">
        <f>IF(AR20&lt;=Sheet2!$D$2,Sheet2!$C$2,IF(AR20&lt;=Sheet2!$D$3,Sheet2!$C$3,IF(AR20&lt;=Sheet2!$D$4,Sheet2!$C$4,IF(AR20&lt;=Sheet2!$D$5,Sheet2!$C$5,IF(AR20&lt;=Sheet2!$D$6,Sheet2!$C$6,IF(AR20&lt;=Sheet2!$D$7,Sheet2!$C$7,IF(AR20&lt;=Sheet2!$D$8,Sheet2!$C$8,IF(AR20&lt;=Sheet2!$D$9,Sheet2!$C$9,IF(AR20&lt;=Sheet2!$D$10,Sheet2!$C$10,IF(AR20&lt;=Sheet2!$D$11,Sheet2!$C$11,0))))))))))</f>
        <v>350</v>
      </c>
      <c r="AT20" s="2">
        <f t="shared" si="9"/>
        <v>150</v>
      </c>
      <c r="AU20" s="22"/>
      <c r="AV20" s="22"/>
      <c r="AW20" s="22"/>
      <c r="AX20" s="22"/>
      <c r="AY20" s="22">
        <f t="shared" si="4"/>
        <v>3.5714285714285716</v>
      </c>
      <c r="AZ20" s="39">
        <f t="shared" si="10"/>
        <v>135.30612244897958</v>
      </c>
      <c r="BA20" s="161" t="s">
        <v>374</v>
      </c>
      <c r="BB20" s="31" t="str">
        <f>IF(AR20&lt;=Sheet2!$D$2,Sheet2!$B$2,IF(AR20&lt;=Sheet2!$D$3,Sheet2!$B$3,IF(AR20&lt;=Sheet2!$D$4,Sheet2!$B$4,IF(AR20&lt;=Sheet2!$D$5,Sheet2!$B$5,IF(AR20&lt;=Sheet2!$D$6,Sheet2!$B$6,IF(AR20&lt;=Sheet2!$D$7,Sheet2!$B$7,IF(AR20&lt;=Sheet2!$D$8,Sheet2!$B$8,IF(AR20&lt;=Sheet2!$D$9,Sheet2!$B$9,IF(AR20&lt;=Sheet2!$D$10,Sheet2!$B$10,IF(AR20&lt;=Sheet2!$D$11,Sheet2!$B$11,0))))))))))</f>
        <v>FXSQ63A</v>
      </c>
    </row>
    <row r="21" spans="1:54" ht="15" hidden="1" thickBot="1" x14ac:dyDescent="0.35">
      <c r="A21" t="s">
        <v>9</v>
      </c>
      <c r="B21" s="3">
        <v>17</v>
      </c>
      <c r="C21" s="64" t="s">
        <v>345</v>
      </c>
      <c r="D21" s="27" t="s">
        <v>80</v>
      </c>
      <c r="E21" s="27" t="s">
        <v>99</v>
      </c>
      <c r="F21" s="28" t="s">
        <v>98</v>
      </c>
      <c r="G21" s="29">
        <f>4*3</f>
        <v>12</v>
      </c>
      <c r="H21" s="47">
        <f>G21</f>
        <v>12</v>
      </c>
      <c r="I21" s="30">
        <v>2</v>
      </c>
      <c r="J21" s="42"/>
      <c r="K21" s="49">
        <f t="shared" si="23"/>
        <v>2</v>
      </c>
      <c r="L21" s="42">
        <v>0</v>
      </c>
      <c r="M21" s="2">
        <v>0</v>
      </c>
      <c r="N21" s="2">
        <f>VLOOKUP(A21,Data!A:B,2,FALSE)</f>
        <v>5</v>
      </c>
      <c r="O21" s="31">
        <f t="shared" si="18"/>
        <v>0</v>
      </c>
      <c r="P21" s="32">
        <v>22</v>
      </c>
      <c r="Q21" s="29" t="s">
        <v>31</v>
      </c>
      <c r="R21" s="33">
        <f>VLOOKUP(A21,Data!A:D,4,FALSE)</f>
        <v>2.5</v>
      </c>
      <c r="S21" s="2">
        <f>VLOOKUP(A21,Data!A:C,3,FALSE)</f>
        <v>0.3</v>
      </c>
      <c r="T21" s="2"/>
      <c r="U21" s="2">
        <f t="shared" si="27"/>
        <v>8.6</v>
      </c>
      <c r="V21" s="29">
        <v>30</v>
      </c>
      <c r="W21" s="93"/>
      <c r="X21" s="62"/>
      <c r="Y21" s="34"/>
      <c r="Z21" s="34">
        <f>0.85*V21</f>
        <v>25.5</v>
      </c>
      <c r="AA21" s="31">
        <f t="shared" si="5"/>
        <v>26</v>
      </c>
      <c r="AB21" s="92"/>
      <c r="AC21" s="1">
        <v>-25</v>
      </c>
      <c r="AD21" s="93" t="str">
        <f t="shared" si="6"/>
        <v>Positive</v>
      </c>
      <c r="AE21" s="107">
        <f>ROUND(ABS((V21+AB21+W21+AC21)*3.6)/(G21*3),2)</f>
        <v>0.5</v>
      </c>
      <c r="AF21" s="106" t="b">
        <f t="shared" si="8"/>
        <v>1</v>
      </c>
      <c r="AG21" s="32"/>
      <c r="AH21" s="2"/>
      <c r="AI21" s="35"/>
      <c r="AJ21" s="36"/>
      <c r="AK21" s="32">
        <f>VLOOKUP(A21,Data!A:F,6,FALSE)</f>
        <v>10</v>
      </c>
      <c r="AL21" s="35">
        <f t="shared" si="2"/>
        <v>0.12</v>
      </c>
      <c r="AM21" s="36">
        <f t="shared" si="19"/>
        <v>0.12</v>
      </c>
      <c r="AN21" s="37"/>
      <c r="AO21" s="38"/>
      <c r="AP21" s="151">
        <v>1</v>
      </c>
      <c r="AQ21" s="151">
        <f t="shared" si="3"/>
        <v>0</v>
      </c>
      <c r="AR21" s="161">
        <v>2.1</v>
      </c>
      <c r="AS21" s="2">
        <f>IF(AR21&lt;=Sheet2!$D$2,Sheet2!$C$2,IF(AR21&lt;=Sheet2!$D$3,Sheet2!$C$3,IF(AR21&lt;=Sheet2!$D$4,Sheet2!$C$4,IF(AR21&lt;=Sheet2!$D$5,Sheet2!$C$5,IF(AR21&lt;=Sheet2!$D$6,Sheet2!$C$6,IF(AR21&lt;=Sheet2!$D$7,Sheet2!$C$7,IF(AR21&lt;=Sheet2!$D$8,Sheet2!$C$8,IF(AR21&lt;=Sheet2!$D$9,Sheet2!$C$9,IF(AR21&lt;=Sheet2!$D$10,Sheet2!$C$10,IF(AR21&lt;=Sheet2!$D$11,Sheet2!$C$11,0))))))))))</f>
        <v>158</v>
      </c>
      <c r="AT21" s="2">
        <f t="shared" si="9"/>
        <v>128</v>
      </c>
      <c r="AU21" s="38"/>
      <c r="AV21" s="38"/>
      <c r="AW21" s="38"/>
      <c r="AX21" s="38"/>
      <c r="AY21" s="38">
        <f t="shared" si="4"/>
        <v>13.166666666666666</v>
      </c>
      <c r="AZ21" s="39">
        <f t="shared" si="10"/>
        <v>595.00000000000011</v>
      </c>
      <c r="BA21" s="161" t="s">
        <v>373</v>
      </c>
      <c r="BB21" s="31" t="str">
        <f>IF(AR21&lt;=Sheet2!$D$2,Sheet2!$B$2,IF(AR21&lt;=Sheet2!$D$3,Sheet2!$B$3,IF(AR21&lt;=Sheet2!$D$4,Sheet2!$B$4,IF(AR21&lt;=Sheet2!$D$5,Sheet2!$B$5,IF(AR21&lt;=Sheet2!$D$6,Sheet2!$B$6,IF(AR21&lt;=Sheet2!$D$7,Sheet2!$B$7,IF(AR21&lt;=Sheet2!$D$8,Sheet2!$B$8,IF(AR21&lt;=Sheet2!$D$9,Sheet2!$B$9,IF(AR21&lt;=Sheet2!$D$10,Sheet2!$B$10,IF(AR21&lt;=Sheet2!$D$11,Sheet2!$B$11,0))))))))))</f>
        <v>FXSQ32A</v>
      </c>
    </row>
    <row r="22" spans="1:54" ht="13.95" hidden="1" customHeight="1" thickBot="1" x14ac:dyDescent="0.35">
      <c r="A22" t="s">
        <v>137</v>
      </c>
      <c r="B22" s="3">
        <v>18</v>
      </c>
      <c r="C22" s="64" t="s">
        <v>345</v>
      </c>
      <c r="D22" s="13" t="s">
        <v>81</v>
      </c>
      <c r="E22" s="13" t="s">
        <v>137</v>
      </c>
      <c r="F22" s="26" t="s">
        <v>138</v>
      </c>
      <c r="G22" s="14">
        <f>13.6*16.4-124</f>
        <v>99.039999999999964</v>
      </c>
      <c r="H22" s="14">
        <f>G22</f>
        <v>99.039999999999964</v>
      </c>
      <c r="I22" s="15">
        <v>30</v>
      </c>
      <c r="J22" s="41"/>
      <c r="K22" s="19">
        <f t="shared" si="23"/>
        <v>30</v>
      </c>
      <c r="L22" s="41">
        <v>0</v>
      </c>
      <c r="M22" s="17">
        <v>0</v>
      </c>
      <c r="N22" s="17">
        <f>VLOOKUP(A22,Data!A:B,2,FALSE)</f>
        <v>30</v>
      </c>
      <c r="O22" s="19">
        <f t="shared" si="18"/>
        <v>0</v>
      </c>
      <c r="P22" s="16">
        <v>22</v>
      </c>
      <c r="Q22" s="14" t="s">
        <v>31</v>
      </c>
      <c r="R22" s="12">
        <f>VLOOKUP(A22,Data!A:D,4,FALSE)</f>
        <v>2.5</v>
      </c>
      <c r="S22" s="17">
        <f>VLOOKUP(A22,Data!A:C,3,FALSE)</f>
        <v>0.3</v>
      </c>
      <c r="T22" s="17"/>
      <c r="U22" s="17">
        <f t="shared" si="27"/>
        <v>104.71199999999999</v>
      </c>
      <c r="V22" s="29">
        <f t="shared" si="21"/>
        <v>105</v>
      </c>
      <c r="W22" s="93"/>
      <c r="X22" s="62"/>
      <c r="Y22" s="34"/>
      <c r="Z22" s="34">
        <f t="shared" si="28"/>
        <v>89.25</v>
      </c>
      <c r="AA22" s="31">
        <f t="shared" si="5"/>
        <v>90</v>
      </c>
      <c r="AB22" s="92"/>
      <c r="AC22" s="1">
        <v>-70</v>
      </c>
      <c r="AD22" s="93" t="str">
        <f t="shared" si="6"/>
        <v>Positive</v>
      </c>
      <c r="AE22" s="107">
        <f t="shared" si="7"/>
        <v>0.42</v>
      </c>
      <c r="AF22" s="106" t="b">
        <f t="shared" si="8"/>
        <v>1</v>
      </c>
      <c r="AG22" s="16"/>
      <c r="AH22" s="17"/>
      <c r="AI22" s="18"/>
      <c r="AJ22" s="20"/>
      <c r="AK22" s="16">
        <f>VLOOKUP(A22,Data!A:F,6,FALSE)</f>
        <v>10</v>
      </c>
      <c r="AL22" s="18">
        <f t="shared" si="2"/>
        <v>0.99039999999999961</v>
      </c>
      <c r="AM22" s="20">
        <f t="shared" si="19"/>
        <v>0.99039999999999961</v>
      </c>
      <c r="AN22" s="21"/>
      <c r="AO22" s="22"/>
      <c r="AP22" s="152">
        <v>1</v>
      </c>
      <c r="AQ22" s="152">
        <f t="shared" si="3"/>
        <v>0</v>
      </c>
      <c r="AR22" s="162">
        <v>6.8</v>
      </c>
      <c r="AS22" s="17">
        <f>IF(AR22&lt;=Sheet2!$D$2,Sheet2!$C$2,IF(AR22&lt;=Sheet2!$D$3,Sheet2!$C$3,IF(AR22&lt;=Sheet2!$D$4,Sheet2!$C$4,IF(AR22&lt;=Sheet2!$D$5,Sheet2!$C$5,IF(AR22&lt;=Sheet2!$D$6,Sheet2!$C$6,IF(AR22&lt;=Sheet2!$D$7,Sheet2!$C$7,IF(AR22&lt;=Sheet2!$D$8,Sheet2!$C$8,IF(AR22&lt;=Sheet2!$D$9,Sheet2!$C$9,IF(AR22&lt;=Sheet2!$D$10,Sheet2!$C$10,IF(AR22&lt;=Sheet2!$D$11,Sheet2!$C$11,0))))))))))</f>
        <v>533</v>
      </c>
      <c r="AT22" s="2">
        <f t="shared" si="9"/>
        <v>428</v>
      </c>
      <c r="AU22" s="22"/>
      <c r="AV22" s="22"/>
      <c r="AW22" s="22"/>
      <c r="AX22" s="22"/>
      <c r="AY22" s="22">
        <f t="shared" si="4"/>
        <v>5.3816639741518602</v>
      </c>
      <c r="AZ22" s="39">
        <f t="shared" si="10"/>
        <v>233.44103392568667</v>
      </c>
      <c r="BA22" s="161" t="s">
        <v>374</v>
      </c>
      <c r="BB22" s="31" t="str">
        <f>IF(AR22&lt;=Sheet2!$D$2,Sheet2!$B$2,IF(AR22&lt;=Sheet2!$D$3,Sheet2!$B$3,IF(AR22&lt;=Sheet2!$D$4,Sheet2!$B$4,IF(AR22&lt;=Sheet2!$D$5,Sheet2!$B$5,IF(AR22&lt;=Sheet2!$D$6,Sheet2!$B$6,IF(AR22&lt;=Sheet2!$D$7,Sheet2!$B$7,IF(AR22&lt;=Sheet2!$D$8,Sheet2!$B$8,IF(AR22&lt;=Sheet2!$D$9,Sheet2!$B$9,IF(AR22&lt;=Sheet2!$D$10,Sheet2!$B$10,IF(AR22&lt;=Sheet2!$D$11,Sheet2!$B$11,0))))))))))</f>
        <v>FXSQ100A</v>
      </c>
    </row>
    <row r="23" spans="1:54" ht="15" hidden="1" thickBot="1" x14ac:dyDescent="0.35">
      <c r="A23" t="s">
        <v>112</v>
      </c>
      <c r="B23" s="3">
        <v>19</v>
      </c>
      <c r="C23" s="64" t="s">
        <v>345</v>
      </c>
      <c r="D23" s="27" t="s">
        <v>135</v>
      </c>
      <c r="E23" s="27" t="s">
        <v>101</v>
      </c>
      <c r="F23" s="28" t="s">
        <v>100</v>
      </c>
      <c r="G23" s="29">
        <f>4*7.9</f>
        <v>31.6</v>
      </c>
      <c r="H23" s="47">
        <f t="shared" ref="H23:H27" si="29">G23</f>
        <v>31.6</v>
      </c>
      <c r="I23" s="30">
        <v>10</v>
      </c>
      <c r="J23" s="42"/>
      <c r="K23" s="49">
        <f t="shared" si="23"/>
        <v>10</v>
      </c>
      <c r="L23" s="42">
        <v>0</v>
      </c>
      <c r="M23" s="2">
        <v>0</v>
      </c>
      <c r="N23" s="2">
        <f>VLOOKUP(A23,Data!A:B,2,FALSE)</f>
        <v>50</v>
      </c>
      <c r="O23" s="31">
        <f t="shared" si="18"/>
        <v>0</v>
      </c>
      <c r="P23" s="32">
        <v>22</v>
      </c>
      <c r="Q23" s="29" t="s">
        <v>31</v>
      </c>
      <c r="R23" s="33">
        <f>VLOOKUP(A23,Data!A:D,4,FALSE)</f>
        <v>3.8</v>
      </c>
      <c r="S23" s="2">
        <f>VLOOKUP(A23,Data!A:C,3,FALSE)</f>
        <v>0.3</v>
      </c>
      <c r="T23" s="2"/>
      <c r="U23" s="2">
        <f t="shared" si="27"/>
        <v>47.480000000000004</v>
      </c>
      <c r="V23" s="29">
        <f t="shared" si="21"/>
        <v>50</v>
      </c>
      <c r="W23" s="93"/>
      <c r="X23" s="62"/>
      <c r="Y23" s="34"/>
      <c r="Z23" s="34">
        <f t="shared" si="28"/>
        <v>42.5</v>
      </c>
      <c r="AA23" s="31">
        <f t="shared" si="5"/>
        <v>43</v>
      </c>
      <c r="AB23" s="92"/>
      <c r="AC23" s="1">
        <v>-40</v>
      </c>
      <c r="AD23" s="93" t="str">
        <f t="shared" si="6"/>
        <v>Positive</v>
      </c>
      <c r="AE23" s="107">
        <f t="shared" si="7"/>
        <v>0.38</v>
      </c>
      <c r="AF23" s="106" t="b">
        <f t="shared" si="8"/>
        <v>1</v>
      </c>
      <c r="AG23" s="32"/>
      <c r="AH23" s="2"/>
      <c r="AI23" s="35"/>
      <c r="AJ23" s="36"/>
      <c r="AK23" s="32">
        <f>VLOOKUP(A23,Data!A:F,6,FALSE)</f>
        <v>10</v>
      </c>
      <c r="AL23" s="35">
        <f t="shared" si="2"/>
        <v>0.316</v>
      </c>
      <c r="AM23" s="36">
        <f t="shared" si="19"/>
        <v>0.316</v>
      </c>
      <c r="AN23" s="37"/>
      <c r="AO23" s="38"/>
      <c r="AP23" s="151">
        <v>1</v>
      </c>
      <c r="AQ23" s="151">
        <f t="shared" si="3"/>
        <v>0</v>
      </c>
      <c r="AR23" s="161">
        <v>4.0999999999999996</v>
      </c>
      <c r="AS23" s="2">
        <f>IF(AR23&lt;=Sheet2!$D$2,Sheet2!$C$2,IF(AR23&lt;=Sheet2!$D$3,Sheet2!$C$3,IF(AR23&lt;=Sheet2!$D$4,Sheet2!$C$4,IF(AR23&lt;=Sheet2!$D$5,Sheet2!$C$5,IF(AR23&lt;=Sheet2!$D$6,Sheet2!$C$6,IF(AR23&lt;=Sheet2!$D$7,Sheet2!$C$7,IF(AR23&lt;=Sheet2!$D$8,Sheet2!$C$8,IF(AR23&lt;=Sheet2!$D$9,Sheet2!$C$9,IF(AR23&lt;=Sheet2!$D$10,Sheet2!$C$10,IF(AR23&lt;=Sheet2!$D$11,Sheet2!$C$11,0))))))))))</f>
        <v>350</v>
      </c>
      <c r="AT23" s="2">
        <f t="shared" si="9"/>
        <v>300</v>
      </c>
      <c r="AU23" s="38"/>
      <c r="AV23" s="38"/>
      <c r="AW23" s="38"/>
      <c r="AX23" s="38"/>
      <c r="AY23" s="38">
        <f t="shared" si="4"/>
        <v>11.075949367088606</v>
      </c>
      <c r="AZ23" s="39">
        <f t="shared" si="10"/>
        <v>441.13924050632903</v>
      </c>
      <c r="BA23" s="161" t="s">
        <v>374</v>
      </c>
      <c r="BB23" s="31" t="str">
        <f>IF(AR23&lt;=Sheet2!$D$2,Sheet2!$B$2,IF(AR23&lt;=Sheet2!$D$3,Sheet2!$B$3,IF(AR23&lt;=Sheet2!$D$4,Sheet2!$B$4,IF(AR23&lt;=Sheet2!$D$5,Sheet2!$B$5,IF(AR23&lt;=Sheet2!$D$6,Sheet2!$B$6,IF(AR23&lt;=Sheet2!$D$7,Sheet2!$B$7,IF(AR23&lt;=Sheet2!$D$8,Sheet2!$B$8,IF(AR23&lt;=Sheet2!$D$9,Sheet2!$B$9,IF(AR23&lt;=Sheet2!$D$10,Sheet2!$B$10,IF(AR23&lt;=Sheet2!$D$11,Sheet2!$B$11,0))))))))))</f>
        <v>FXSQ63A</v>
      </c>
    </row>
    <row r="24" spans="1:54" ht="13.95" hidden="1" customHeight="1" thickBot="1" x14ac:dyDescent="0.35">
      <c r="A24" t="s">
        <v>112</v>
      </c>
      <c r="B24" s="3">
        <v>20</v>
      </c>
      <c r="C24" s="64" t="s">
        <v>345</v>
      </c>
      <c r="D24" s="13" t="s">
        <v>136</v>
      </c>
      <c r="E24" s="13" t="s">
        <v>101</v>
      </c>
      <c r="F24" s="26" t="s">
        <v>100</v>
      </c>
      <c r="G24" s="14">
        <f>4*7.9</f>
        <v>31.6</v>
      </c>
      <c r="H24" s="14">
        <f t="shared" si="29"/>
        <v>31.6</v>
      </c>
      <c r="I24" s="15">
        <v>17</v>
      </c>
      <c r="J24" s="41"/>
      <c r="K24" s="19">
        <f t="shared" si="23"/>
        <v>17</v>
      </c>
      <c r="L24" s="41">
        <v>0</v>
      </c>
      <c r="M24" s="17">
        <v>0</v>
      </c>
      <c r="N24" s="17">
        <f>VLOOKUP(A24,Data!A:B,2,FALSE)</f>
        <v>50</v>
      </c>
      <c r="O24" s="19">
        <f t="shared" ref="O24" si="30">L24</f>
        <v>0</v>
      </c>
      <c r="P24" s="16">
        <v>22</v>
      </c>
      <c r="Q24" s="14" t="s">
        <v>31</v>
      </c>
      <c r="R24" s="12">
        <f>VLOOKUP(A24,Data!A:D,4,FALSE)</f>
        <v>3.8</v>
      </c>
      <c r="S24" s="17">
        <f>VLOOKUP(A24,Data!A:C,3,FALSE)</f>
        <v>0.3</v>
      </c>
      <c r="T24" s="17"/>
      <c r="U24" s="17">
        <f t="shared" si="27"/>
        <v>74.08</v>
      </c>
      <c r="V24" s="29">
        <f t="shared" si="21"/>
        <v>75</v>
      </c>
      <c r="W24" s="91"/>
      <c r="X24" s="62"/>
      <c r="Y24" s="34"/>
      <c r="Z24" s="34">
        <f t="shared" si="28"/>
        <v>63.75</v>
      </c>
      <c r="AA24" s="31">
        <v>75</v>
      </c>
      <c r="AB24" s="92"/>
      <c r="AC24" s="1">
        <v>-65</v>
      </c>
      <c r="AD24" s="93" t="str">
        <f t="shared" si="6"/>
        <v>Positive</v>
      </c>
      <c r="AE24" s="107">
        <f t="shared" si="7"/>
        <v>0.38</v>
      </c>
      <c r="AF24" s="106" t="b">
        <f t="shared" si="8"/>
        <v>1</v>
      </c>
      <c r="AG24" s="16"/>
      <c r="AH24" s="17"/>
      <c r="AI24" s="18"/>
      <c r="AJ24" s="20"/>
      <c r="AK24" s="16">
        <f>VLOOKUP(A24,Data!A:F,6,FALSE)</f>
        <v>10</v>
      </c>
      <c r="AL24" s="18">
        <f t="shared" si="2"/>
        <v>0.316</v>
      </c>
      <c r="AM24" s="20">
        <f t="shared" ref="AM24" si="31">AL24</f>
        <v>0.316</v>
      </c>
      <c r="AN24" s="21"/>
      <c r="AO24" s="22"/>
      <c r="AP24" s="152">
        <v>1</v>
      </c>
      <c r="AQ24" s="152">
        <f t="shared" si="3"/>
        <v>0</v>
      </c>
      <c r="AR24" s="162">
        <v>3.8</v>
      </c>
      <c r="AS24" s="17">
        <f>IF(AR24&lt;=Sheet2!$D$2,Sheet2!$C$2,IF(AR24&lt;=Sheet2!$D$3,Sheet2!$C$3,IF(AR24&lt;=Sheet2!$D$4,Sheet2!$C$4,IF(AR24&lt;=Sheet2!$D$5,Sheet2!$C$5,IF(AR24&lt;=Sheet2!$D$6,Sheet2!$C$6,IF(AR24&lt;=Sheet2!$D$7,Sheet2!$C$7,IF(AR24&lt;=Sheet2!$D$8,Sheet2!$C$8,IF(AR24&lt;=Sheet2!$D$9,Sheet2!$C$9,IF(AR24&lt;=Sheet2!$D$10,Sheet2!$C$10,IF(AR24&lt;=Sheet2!$D$11,Sheet2!$C$11,0))))))))))</f>
        <v>350</v>
      </c>
      <c r="AT24" s="2">
        <f t="shared" si="9"/>
        <v>275</v>
      </c>
      <c r="AU24" s="22"/>
      <c r="AV24" s="22"/>
      <c r="AW24" s="22"/>
      <c r="AX24" s="22"/>
      <c r="AY24" s="22">
        <f t="shared" si="4"/>
        <v>11.075949367088606</v>
      </c>
      <c r="AZ24" s="39">
        <f t="shared" si="10"/>
        <v>408.86075949367086</v>
      </c>
      <c r="BA24" s="161" t="s">
        <v>374</v>
      </c>
      <c r="BB24" s="31" t="str">
        <f>IF(AR24&lt;=Sheet2!$D$2,Sheet2!$B$2,IF(AR24&lt;=Sheet2!$D$3,Sheet2!$B$3,IF(AR24&lt;=Sheet2!$D$4,Sheet2!$B$4,IF(AR24&lt;=Sheet2!$D$5,Sheet2!$B$5,IF(AR24&lt;=Sheet2!$D$6,Sheet2!$B$6,IF(AR24&lt;=Sheet2!$D$7,Sheet2!$B$7,IF(AR24&lt;=Sheet2!$D$8,Sheet2!$B$8,IF(AR24&lt;=Sheet2!$D$9,Sheet2!$B$9,IF(AR24&lt;=Sheet2!$D$10,Sheet2!$B$10,IF(AR24&lt;=Sheet2!$D$11,Sheet2!$B$11,0))))))))))</f>
        <v>FXSQ63A</v>
      </c>
    </row>
    <row r="25" spans="1:54" ht="15" hidden="1" thickBot="1" x14ac:dyDescent="0.35">
      <c r="A25" t="s">
        <v>9</v>
      </c>
      <c r="B25" s="3">
        <v>21</v>
      </c>
      <c r="C25" s="64" t="s">
        <v>345</v>
      </c>
      <c r="D25" s="27" t="s">
        <v>139</v>
      </c>
      <c r="E25" s="27" t="s">
        <v>141</v>
      </c>
      <c r="F25" s="28" t="s">
        <v>140</v>
      </c>
      <c r="G25" s="29">
        <f>3.4*2.8</f>
        <v>9.52</v>
      </c>
      <c r="H25" s="47">
        <f t="shared" si="29"/>
        <v>9.52</v>
      </c>
      <c r="I25" s="30">
        <v>1</v>
      </c>
      <c r="J25" s="42"/>
      <c r="K25" s="49">
        <f t="shared" si="23"/>
        <v>1</v>
      </c>
      <c r="L25" s="42">
        <v>0</v>
      </c>
      <c r="M25" s="2">
        <v>0</v>
      </c>
      <c r="N25" s="2">
        <f>VLOOKUP(A25,Data!A:B,2,FALSE)</f>
        <v>5</v>
      </c>
      <c r="O25" s="31">
        <f t="shared" ref="O25:O26" si="32">L25</f>
        <v>0</v>
      </c>
      <c r="P25" s="32">
        <v>22</v>
      </c>
      <c r="Q25" s="29" t="s">
        <v>31</v>
      </c>
      <c r="R25" s="33">
        <f>VLOOKUP(A25,Data!A:D,4,FALSE)</f>
        <v>2.5</v>
      </c>
      <c r="S25" s="2">
        <f>VLOOKUP(A25,Data!A:C,3,FALSE)</f>
        <v>0.3</v>
      </c>
      <c r="T25" s="2"/>
      <c r="U25" s="2">
        <f t="shared" si="27"/>
        <v>5.3559999999999999</v>
      </c>
      <c r="V25" s="29">
        <f t="shared" si="21"/>
        <v>10</v>
      </c>
      <c r="W25" s="91"/>
      <c r="X25" s="62"/>
      <c r="Y25" s="34"/>
      <c r="Z25" s="34">
        <f t="shared" si="28"/>
        <v>8.5</v>
      </c>
      <c r="AA25" s="31">
        <f t="shared" si="5"/>
        <v>9</v>
      </c>
      <c r="AB25" s="92"/>
      <c r="AC25" s="1">
        <v>-7</v>
      </c>
      <c r="AD25" s="93" t="str">
        <f t="shared" si="6"/>
        <v>Positive</v>
      </c>
      <c r="AE25" s="107">
        <f t="shared" si="7"/>
        <v>0.38</v>
      </c>
      <c r="AF25" s="106" t="b">
        <f t="shared" si="8"/>
        <v>1</v>
      </c>
      <c r="AG25" s="32"/>
      <c r="AH25" s="2"/>
      <c r="AI25" s="35"/>
      <c r="AJ25" s="36"/>
      <c r="AK25" s="32">
        <f>VLOOKUP(A25,Data!A:F,6,FALSE)</f>
        <v>10</v>
      </c>
      <c r="AL25" s="35">
        <f t="shared" si="2"/>
        <v>9.5199999999999993E-2</v>
      </c>
      <c r="AM25" s="36">
        <f t="shared" ref="AM25:AM26" si="33">AL25</f>
        <v>9.5199999999999993E-2</v>
      </c>
      <c r="AN25" s="37"/>
      <c r="AO25" s="38"/>
      <c r="AP25" s="151">
        <v>1</v>
      </c>
      <c r="AQ25" s="151">
        <f t="shared" si="3"/>
        <v>0</v>
      </c>
      <c r="AR25" s="161">
        <v>5.6</v>
      </c>
      <c r="AS25" s="2">
        <f>IF(AR25&lt;=Sheet2!$D$2,Sheet2!$C$2,IF(AR25&lt;=Sheet2!$D$3,Sheet2!$C$3,IF(AR25&lt;=Sheet2!$D$4,Sheet2!$C$4,IF(AR25&lt;=Sheet2!$D$5,Sheet2!$C$5,IF(AR25&lt;=Sheet2!$D$6,Sheet2!$C$6,IF(AR25&lt;=Sheet2!$D$7,Sheet2!$C$7,IF(AR25&lt;=Sheet2!$D$8,Sheet2!$C$8,IF(AR25&lt;=Sheet2!$D$9,Sheet2!$C$9,IF(AR25&lt;=Sheet2!$D$10,Sheet2!$C$10,IF(AR25&lt;=Sheet2!$D$11,Sheet2!$C$11,0))))))))))</f>
        <v>383</v>
      </c>
      <c r="AT25" s="2">
        <f t="shared" si="9"/>
        <v>373</v>
      </c>
      <c r="AU25" s="38"/>
      <c r="AV25" s="38"/>
      <c r="AW25" s="38"/>
      <c r="AX25" s="38"/>
      <c r="AY25" s="38">
        <f t="shared" si="4"/>
        <v>40.231092436974791</v>
      </c>
      <c r="AZ25" s="39">
        <f t="shared" si="10"/>
        <v>2000</v>
      </c>
      <c r="BA25" s="161" t="s">
        <v>374</v>
      </c>
      <c r="BB25" s="31" t="str">
        <f>IF(AR25&lt;=Sheet2!$D$2,Sheet2!$B$2,IF(AR25&lt;=Sheet2!$D$3,Sheet2!$B$3,IF(AR25&lt;=Sheet2!$D$4,Sheet2!$B$4,IF(AR25&lt;=Sheet2!$D$5,Sheet2!$B$5,IF(AR25&lt;=Sheet2!$D$6,Sheet2!$B$6,IF(AR25&lt;=Sheet2!$D$7,Sheet2!$B$7,IF(AR25&lt;=Sheet2!$D$8,Sheet2!$B$8,IF(AR25&lt;=Sheet2!$D$9,Sheet2!$B$9,IF(AR25&lt;=Sheet2!$D$10,Sheet2!$B$10,IF(AR25&lt;=Sheet2!$D$11,Sheet2!$B$11,0))))))))))</f>
        <v>FXSQ80A</v>
      </c>
    </row>
    <row r="26" spans="1:54" ht="13.95" hidden="1" customHeight="1" thickBot="1" x14ac:dyDescent="0.35">
      <c r="A26" t="s">
        <v>8</v>
      </c>
      <c r="B26" s="3">
        <v>22</v>
      </c>
      <c r="C26" s="64" t="s">
        <v>343</v>
      </c>
      <c r="D26" s="13" t="s">
        <v>294</v>
      </c>
      <c r="E26" s="13" t="s">
        <v>8</v>
      </c>
      <c r="F26" s="26"/>
      <c r="G26" s="14">
        <v>84</v>
      </c>
      <c r="H26" s="14">
        <f t="shared" si="29"/>
        <v>84</v>
      </c>
      <c r="I26" s="15">
        <v>0</v>
      </c>
      <c r="J26" s="41"/>
      <c r="K26" s="19">
        <f t="shared" si="23"/>
        <v>0</v>
      </c>
      <c r="L26" s="41">
        <v>0</v>
      </c>
      <c r="M26" s="17">
        <v>0</v>
      </c>
      <c r="N26" s="17">
        <f>VLOOKUP(A26,Data!A:B,2,FALSE)</f>
        <v>0</v>
      </c>
      <c r="O26" s="19">
        <f t="shared" si="32"/>
        <v>0</v>
      </c>
      <c r="P26" s="16">
        <v>22</v>
      </c>
      <c r="Q26" s="14" t="s">
        <v>31</v>
      </c>
      <c r="R26" s="12">
        <f>VLOOKUP(A26,Data!A:D,4,FALSE)</f>
        <v>0</v>
      </c>
      <c r="S26" s="17">
        <f>VLOOKUP(A26,Data!A:C,3,FALSE)</f>
        <v>0.3</v>
      </c>
      <c r="T26" s="17"/>
      <c r="U26" s="17">
        <f t="shared" si="27"/>
        <v>25.2</v>
      </c>
      <c r="V26" s="29">
        <v>50</v>
      </c>
      <c r="W26" s="91"/>
      <c r="X26" s="62"/>
      <c r="Y26" s="34"/>
      <c r="Z26" s="34">
        <f t="shared" si="28"/>
        <v>42.5</v>
      </c>
      <c r="AA26" s="31"/>
      <c r="AB26" s="92">
        <v>0</v>
      </c>
      <c r="AC26" s="132"/>
      <c r="AD26" s="93" t="str">
        <f t="shared" si="6"/>
        <v>Positive</v>
      </c>
      <c r="AE26" s="107">
        <f t="shared" si="7"/>
        <v>0.71</v>
      </c>
      <c r="AF26" s="106" t="b">
        <f t="shared" si="8"/>
        <v>1</v>
      </c>
      <c r="AG26" s="16"/>
      <c r="AH26" s="17"/>
      <c r="AI26" s="18"/>
      <c r="AJ26" s="20"/>
      <c r="AK26" s="16">
        <f>VLOOKUP(A26,Data!A:F,6,FALSE)</f>
        <v>10</v>
      </c>
      <c r="AL26" s="18">
        <f t="shared" si="2"/>
        <v>0.84</v>
      </c>
      <c r="AM26" s="20">
        <f t="shared" si="33"/>
        <v>0.84</v>
      </c>
      <c r="AN26" s="21"/>
      <c r="AO26" s="22"/>
      <c r="AP26" s="152">
        <v>1</v>
      </c>
      <c r="AQ26" s="152">
        <f t="shared" si="3"/>
        <v>0</v>
      </c>
      <c r="AR26" s="162">
        <v>4.2</v>
      </c>
      <c r="AS26" s="17">
        <f>IF(AR26&lt;=Sheet2!$D$2,Sheet2!$C$2,IF(AR26&lt;=Sheet2!$D$3,Sheet2!$C$3,IF(AR26&lt;=Sheet2!$D$4,Sheet2!$C$4,IF(AR26&lt;=Sheet2!$D$5,Sheet2!$C$5,IF(AR26&lt;=Sheet2!$D$6,Sheet2!$C$6,IF(AR26&lt;=Sheet2!$D$7,Sheet2!$C$7,IF(AR26&lt;=Sheet2!$D$8,Sheet2!$C$8,IF(AR26&lt;=Sheet2!$D$9,Sheet2!$C$9,IF(AR26&lt;=Sheet2!$D$10,Sheet2!$C$10,IF(AR26&lt;=Sheet2!$D$11,Sheet2!$C$11,0))))))))))</f>
        <v>350</v>
      </c>
      <c r="AT26" s="2">
        <f t="shared" si="9"/>
        <v>300</v>
      </c>
      <c r="AU26" s="22"/>
      <c r="AV26" s="22"/>
      <c r="AW26" s="22"/>
      <c r="AX26" s="22"/>
      <c r="AY26" s="22">
        <f t="shared" si="4"/>
        <v>4.166666666666667</v>
      </c>
      <c r="AZ26" s="39">
        <f t="shared" si="10"/>
        <v>170</v>
      </c>
      <c r="BA26" s="161" t="s">
        <v>374</v>
      </c>
      <c r="BB26" s="31" t="str">
        <f>IF(AR26&lt;=Sheet2!$D$2,Sheet2!$B$2,IF(AR26&lt;=Sheet2!$D$3,Sheet2!$B$3,IF(AR26&lt;=Sheet2!$D$4,Sheet2!$B$4,IF(AR26&lt;=Sheet2!$D$5,Sheet2!$B$5,IF(AR26&lt;=Sheet2!$D$6,Sheet2!$B$6,IF(AR26&lt;=Sheet2!$D$7,Sheet2!$B$7,IF(AR26&lt;=Sheet2!$D$8,Sheet2!$B$8,IF(AR26&lt;=Sheet2!$D$9,Sheet2!$B$9,IF(AR26&lt;=Sheet2!$D$10,Sheet2!$B$10,IF(AR26&lt;=Sheet2!$D$11,Sheet2!$B$11,0))))))))))</f>
        <v>FXSQ63A</v>
      </c>
    </row>
    <row r="27" spans="1:54" ht="15" hidden="1" thickBot="1" x14ac:dyDescent="0.35">
      <c r="A27" t="s">
        <v>8</v>
      </c>
      <c r="B27" s="3">
        <v>23</v>
      </c>
      <c r="C27" s="64" t="s">
        <v>344</v>
      </c>
      <c r="D27" s="27" t="s">
        <v>295</v>
      </c>
      <c r="E27" s="27" t="s">
        <v>8</v>
      </c>
      <c r="F27" s="28"/>
      <c r="G27" s="29">
        <f>76+4</f>
        <v>80</v>
      </c>
      <c r="H27" s="47">
        <f t="shared" si="29"/>
        <v>80</v>
      </c>
      <c r="I27" s="30">
        <v>0</v>
      </c>
      <c r="J27" s="42"/>
      <c r="K27" s="49">
        <f t="shared" si="23"/>
        <v>0</v>
      </c>
      <c r="L27" s="42">
        <v>0</v>
      </c>
      <c r="M27" s="2">
        <v>0</v>
      </c>
      <c r="N27" s="2">
        <f>VLOOKUP(A27,Data!A:B,2,FALSE)</f>
        <v>0</v>
      </c>
      <c r="O27" s="31">
        <f t="shared" ref="O27" si="34">L27</f>
        <v>0</v>
      </c>
      <c r="P27" s="32">
        <v>22</v>
      </c>
      <c r="Q27" s="29" t="s">
        <v>31</v>
      </c>
      <c r="R27" s="33">
        <f>VLOOKUP(A27,Data!A:D,4,FALSE)</f>
        <v>0</v>
      </c>
      <c r="S27" s="2">
        <f>VLOOKUP(A27,Data!A:C,3,FALSE)</f>
        <v>0.3</v>
      </c>
      <c r="T27" s="2"/>
      <c r="U27" s="2">
        <f t="shared" si="27"/>
        <v>24</v>
      </c>
      <c r="V27" s="29">
        <v>310</v>
      </c>
      <c r="W27" s="91">
        <v>-260</v>
      </c>
      <c r="X27" s="62"/>
      <c r="Y27" s="34"/>
      <c r="Z27" s="34"/>
      <c r="AA27" s="31">
        <f t="shared" si="5"/>
        <v>0</v>
      </c>
      <c r="AB27" s="92">
        <f>(CEILING(AA27,1))*-1</f>
        <v>0</v>
      </c>
      <c r="AC27" s="132"/>
      <c r="AD27" s="93" t="str">
        <f t="shared" si="6"/>
        <v>Positive</v>
      </c>
      <c r="AE27" s="107">
        <f t="shared" si="7"/>
        <v>0.75</v>
      </c>
      <c r="AF27" s="106" t="b">
        <f t="shared" si="8"/>
        <v>1</v>
      </c>
      <c r="AG27" s="32"/>
      <c r="AH27" s="2"/>
      <c r="AI27" s="35"/>
      <c r="AJ27" s="36"/>
      <c r="AK27" s="32">
        <f>VLOOKUP(A27,Data!A:F,6,FALSE)</f>
        <v>10</v>
      </c>
      <c r="AL27" s="35">
        <f t="shared" si="2"/>
        <v>0.8</v>
      </c>
      <c r="AM27" s="36">
        <f t="shared" ref="AM27" si="35">AL27</f>
        <v>0.8</v>
      </c>
      <c r="AN27" s="37"/>
      <c r="AO27" s="38"/>
      <c r="AP27" s="151">
        <v>1</v>
      </c>
      <c r="AQ27" s="151">
        <f t="shared" si="3"/>
        <v>0</v>
      </c>
      <c r="AR27" s="161">
        <v>2.2999999999999998</v>
      </c>
      <c r="AS27" s="2">
        <f>IF(AR27&lt;=Sheet2!$D$2,Sheet2!$C$2,IF(AR27&lt;=Sheet2!$D$3,Sheet2!$C$3,IF(AR27&lt;=Sheet2!$D$4,Sheet2!$C$4,IF(AR27&lt;=Sheet2!$D$5,Sheet2!$C$5,IF(AR27&lt;=Sheet2!$D$6,Sheet2!$C$6,IF(AR27&lt;=Sheet2!$D$7,Sheet2!$C$7,IF(AR27&lt;=Sheet2!$D$8,Sheet2!$C$8,IF(AR27&lt;=Sheet2!$D$9,Sheet2!$C$9,IF(AR27&lt;=Sheet2!$D$10,Sheet2!$C$10,IF(AR27&lt;=Sheet2!$D$11,Sheet2!$C$11,0))))))))))</f>
        <v>158</v>
      </c>
      <c r="AT27" s="2">
        <f t="shared" si="9"/>
        <v>-152</v>
      </c>
      <c r="AU27" s="38"/>
      <c r="AV27" s="38"/>
      <c r="AW27" s="38"/>
      <c r="AX27" s="38"/>
      <c r="AY27" s="38">
        <f t="shared" si="4"/>
        <v>1.9750000000000001</v>
      </c>
      <c r="AZ27" s="39">
        <f t="shared" si="10"/>
        <v>97.749999999999986</v>
      </c>
      <c r="BA27" s="161" t="s">
        <v>374</v>
      </c>
      <c r="BB27" s="31" t="str">
        <f>IF(AR27&lt;=Sheet2!$D$2,Sheet2!$B$2,IF(AR27&lt;=Sheet2!$D$3,Sheet2!$B$3,IF(AR27&lt;=Sheet2!$D$4,Sheet2!$B$4,IF(AR27&lt;=Sheet2!$D$5,Sheet2!$B$5,IF(AR27&lt;=Sheet2!$D$6,Sheet2!$B$6,IF(AR27&lt;=Sheet2!$D$7,Sheet2!$B$7,IF(AR27&lt;=Sheet2!$D$8,Sheet2!$B$8,IF(AR27&lt;=Sheet2!$D$9,Sheet2!$B$9,IF(AR27&lt;=Sheet2!$D$10,Sheet2!$B$10,IF(AR27&lt;=Sheet2!$D$11,Sheet2!$B$11,0))))))))))</f>
        <v>FXSQ32A</v>
      </c>
    </row>
    <row r="28" spans="1:54" ht="13.95" hidden="1" customHeight="1" thickBot="1" x14ac:dyDescent="0.35">
      <c r="A28" t="s">
        <v>9</v>
      </c>
      <c r="B28" s="3">
        <v>24</v>
      </c>
      <c r="C28" s="64" t="s">
        <v>343</v>
      </c>
      <c r="D28" s="13" t="s">
        <v>82</v>
      </c>
      <c r="E28" s="13" t="s">
        <v>125</v>
      </c>
      <c r="F28" s="26" t="s">
        <v>126</v>
      </c>
      <c r="G28" s="14">
        <f>4*4.8</f>
        <v>19.2</v>
      </c>
      <c r="H28" s="14">
        <f t="shared" si="17"/>
        <v>19.2</v>
      </c>
      <c r="I28" s="15">
        <v>3</v>
      </c>
      <c r="J28" s="41"/>
      <c r="K28" s="19">
        <f t="shared" ref="K28:K92" si="36">I28</f>
        <v>3</v>
      </c>
      <c r="L28" s="41">
        <v>0</v>
      </c>
      <c r="M28" s="17">
        <v>0</v>
      </c>
      <c r="N28" s="17">
        <f>VLOOKUP(A28,Data!A:B,2,FALSE)</f>
        <v>5</v>
      </c>
      <c r="O28" s="19">
        <f t="shared" si="18"/>
        <v>0</v>
      </c>
      <c r="P28" s="16">
        <v>22</v>
      </c>
      <c r="Q28" s="14" t="s">
        <v>31</v>
      </c>
      <c r="R28" s="12">
        <f>VLOOKUP(A28,Data!A:D,4,FALSE)</f>
        <v>2.5</v>
      </c>
      <c r="S28" s="17">
        <f>VLOOKUP(A28,Data!A:C,3,FALSE)</f>
        <v>0.3</v>
      </c>
      <c r="T28" s="17"/>
      <c r="U28" s="17">
        <f t="shared" si="27"/>
        <v>13.26</v>
      </c>
      <c r="V28" s="29">
        <f t="shared" si="21"/>
        <v>15</v>
      </c>
      <c r="W28" s="91">
        <v>-10</v>
      </c>
      <c r="X28" s="62"/>
      <c r="Y28" s="34"/>
      <c r="Z28" s="34">
        <f t="shared" si="28"/>
        <v>12.75</v>
      </c>
      <c r="AA28" s="31"/>
      <c r="AB28" s="92">
        <v>0</v>
      </c>
      <c r="AC28" s="132"/>
      <c r="AD28" s="93" t="str">
        <f t="shared" si="6"/>
        <v>Positive</v>
      </c>
      <c r="AE28" s="107">
        <f t="shared" si="7"/>
        <v>0.31</v>
      </c>
      <c r="AF28" s="106" t="b">
        <f t="shared" si="8"/>
        <v>1</v>
      </c>
      <c r="AG28" s="16"/>
      <c r="AH28" s="17"/>
      <c r="AI28" s="18"/>
      <c r="AJ28" s="20"/>
      <c r="AK28" s="16">
        <f>VLOOKUP(A28,Data!A:F,6,FALSE)</f>
        <v>10</v>
      </c>
      <c r="AL28" s="18">
        <f t="shared" si="2"/>
        <v>0.192</v>
      </c>
      <c r="AM28" s="20">
        <f t="shared" si="19"/>
        <v>0.192</v>
      </c>
      <c r="AN28" s="21"/>
      <c r="AO28" s="22"/>
      <c r="AP28" s="152">
        <v>1</v>
      </c>
      <c r="AQ28" s="152">
        <f t="shared" si="3"/>
        <v>0</v>
      </c>
      <c r="AR28" s="162">
        <v>2.6</v>
      </c>
      <c r="AS28" s="17">
        <f>IF(AR28&lt;=Sheet2!$D$2,Sheet2!$C$2,IF(AR28&lt;=Sheet2!$D$3,Sheet2!$C$3,IF(AR28&lt;=Sheet2!$D$4,Sheet2!$C$4,IF(AR28&lt;=Sheet2!$D$5,Sheet2!$C$5,IF(AR28&lt;=Sheet2!$D$6,Sheet2!$C$6,IF(AR28&lt;=Sheet2!$D$7,Sheet2!$C$7,IF(AR28&lt;=Sheet2!$D$8,Sheet2!$C$8,IF(AR28&lt;=Sheet2!$D$9,Sheet2!$C$9,IF(AR28&lt;=Sheet2!$D$10,Sheet2!$C$10,IF(AR28&lt;=Sheet2!$D$11,Sheet2!$C$11,0))))))))))</f>
        <v>250</v>
      </c>
      <c r="AT28" s="2">
        <f t="shared" si="9"/>
        <v>235</v>
      </c>
      <c r="AU28" s="22"/>
      <c r="AV28" s="22"/>
      <c r="AW28" s="22"/>
      <c r="AX28" s="22"/>
      <c r="AY28" s="22">
        <f t="shared" si="4"/>
        <v>13.020833333333334</v>
      </c>
      <c r="AZ28" s="39">
        <f t="shared" si="10"/>
        <v>460.41666666666674</v>
      </c>
      <c r="BA28" s="161" t="s">
        <v>373</v>
      </c>
      <c r="BB28" s="31" t="str">
        <f>IF(AR28&lt;=Sheet2!$D$2,Sheet2!$B$2,IF(AR28&lt;=Sheet2!$D$3,Sheet2!$B$3,IF(AR28&lt;=Sheet2!$D$4,Sheet2!$B$4,IF(AR28&lt;=Sheet2!$D$5,Sheet2!$B$5,IF(AR28&lt;=Sheet2!$D$6,Sheet2!$B$6,IF(AR28&lt;=Sheet2!$D$7,Sheet2!$B$7,IF(AR28&lt;=Sheet2!$D$8,Sheet2!$B$8,IF(AR28&lt;=Sheet2!$D$9,Sheet2!$B$9,IF(AR28&lt;=Sheet2!$D$10,Sheet2!$B$10,IF(AR28&lt;=Sheet2!$D$11,Sheet2!$B$11,0))))))))))</f>
        <v>FXSQ40A</v>
      </c>
    </row>
    <row r="29" spans="1:54" ht="15" hidden="1" thickBot="1" x14ac:dyDescent="0.35">
      <c r="A29" t="s">
        <v>171</v>
      </c>
      <c r="B29" s="3">
        <v>25</v>
      </c>
      <c r="C29" s="64" t="s">
        <v>343</v>
      </c>
      <c r="D29" s="27" t="s">
        <v>83</v>
      </c>
      <c r="E29" s="27" t="s">
        <v>105</v>
      </c>
      <c r="F29" s="28" t="s">
        <v>102</v>
      </c>
      <c r="G29" s="29">
        <f>2.8*4.8</f>
        <v>13.44</v>
      </c>
      <c r="H29" s="47">
        <f t="shared" si="17"/>
        <v>13.44</v>
      </c>
      <c r="I29" s="30">
        <v>1</v>
      </c>
      <c r="J29" s="42"/>
      <c r="K29" s="49">
        <f t="shared" si="36"/>
        <v>1</v>
      </c>
      <c r="L29" s="42">
        <v>0</v>
      </c>
      <c r="M29" s="2">
        <v>0</v>
      </c>
      <c r="N29" s="2">
        <f>VLOOKUP(A29,Data!A:B,2,FALSE)</f>
        <v>0</v>
      </c>
      <c r="O29" s="31">
        <f t="shared" si="18"/>
        <v>0</v>
      </c>
      <c r="P29" s="32">
        <v>22</v>
      </c>
      <c r="Q29" s="29" t="s">
        <v>31</v>
      </c>
      <c r="R29" s="33">
        <f>VLOOKUP(A29,Data!A:D,4,FALSE)</f>
        <v>0</v>
      </c>
      <c r="S29" s="2">
        <f>VLOOKUP(A29,Data!A:C,3,FALSE)</f>
        <v>0.3</v>
      </c>
      <c r="T29" s="2"/>
      <c r="U29" s="2">
        <f t="shared" si="27"/>
        <v>4.032</v>
      </c>
      <c r="V29" s="29"/>
      <c r="W29" s="91">
        <v>20</v>
      </c>
      <c r="X29" s="62"/>
      <c r="Y29" s="34"/>
      <c r="Z29" s="34">
        <f t="shared" si="28"/>
        <v>0</v>
      </c>
      <c r="AA29" s="31">
        <v>25</v>
      </c>
      <c r="AB29" s="92">
        <v>-25</v>
      </c>
      <c r="AC29" s="132"/>
      <c r="AD29" s="93" t="str">
        <f t="shared" si="6"/>
        <v>Negative</v>
      </c>
      <c r="AE29" s="107">
        <f t="shared" si="7"/>
        <v>0.45</v>
      </c>
      <c r="AF29" s="106" t="b">
        <f t="shared" si="8"/>
        <v>1</v>
      </c>
      <c r="AG29" s="32"/>
      <c r="AH29" s="2"/>
      <c r="AI29" s="35"/>
      <c r="AJ29" s="36"/>
      <c r="AK29" s="32">
        <f>VLOOKUP(A29,Data!A:F,6,FALSE)</f>
        <v>10</v>
      </c>
      <c r="AL29" s="35">
        <f t="shared" si="2"/>
        <v>0.13440000000000002</v>
      </c>
      <c r="AM29" s="36">
        <f t="shared" si="19"/>
        <v>0.13440000000000002</v>
      </c>
      <c r="AN29" s="37"/>
      <c r="AO29" s="38"/>
      <c r="AP29" s="151">
        <v>1</v>
      </c>
      <c r="AQ29" s="151">
        <f t="shared" si="3"/>
        <v>0</v>
      </c>
      <c r="AR29" s="161">
        <v>1.5</v>
      </c>
      <c r="AS29" s="2">
        <f>IF(AR29&lt;=Sheet2!$D$2,Sheet2!$C$2,IF(AR29&lt;=Sheet2!$D$3,Sheet2!$C$3,IF(AR29&lt;=Sheet2!$D$4,Sheet2!$C$4,IF(AR29&lt;=Sheet2!$D$5,Sheet2!$C$5,IF(AR29&lt;=Sheet2!$D$6,Sheet2!$C$6,IF(AR29&lt;=Sheet2!$D$7,Sheet2!$C$7,IF(AR29&lt;=Sheet2!$D$8,Sheet2!$C$8,IF(AR29&lt;=Sheet2!$D$9,Sheet2!$C$9,IF(AR29&lt;=Sheet2!$D$10,Sheet2!$C$10,IF(AR29&lt;=Sheet2!$D$11,Sheet2!$C$11,0))))))))))</f>
        <v>150</v>
      </c>
      <c r="AT29" s="2">
        <f t="shared" si="9"/>
        <v>150</v>
      </c>
      <c r="AU29" s="38"/>
      <c r="AV29" s="38"/>
      <c r="AW29" s="38"/>
      <c r="AX29" s="38"/>
      <c r="AY29" s="38">
        <f t="shared" si="4"/>
        <v>11.160714285714286</v>
      </c>
      <c r="AZ29" s="39">
        <f t="shared" si="10"/>
        <v>379.46428571428572</v>
      </c>
      <c r="BA29" s="161" t="s">
        <v>373</v>
      </c>
      <c r="BB29" s="31" t="str">
        <f>IF(AR29&lt;=Sheet2!$D$2,Sheet2!$B$2,IF(AR29&lt;=Sheet2!$D$3,Sheet2!$B$3,IF(AR29&lt;=Sheet2!$D$4,Sheet2!$B$4,IF(AR29&lt;=Sheet2!$D$5,Sheet2!$B$5,IF(AR29&lt;=Sheet2!$D$6,Sheet2!$B$6,IF(AR29&lt;=Sheet2!$D$7,Sheet2!$B$7,IF(AR29&lt;=Sheet2!$D$8,Sheet2!$B$8,IF(AR29&lt;=Sheet2!$D$9,Sheet2!$B$9,IF(AR29&lt;=Sheet2!$D$10,Sheet2!$B$10,IF(AR29&lt;=Sheet2!$D$11,Sheet2!$B$11,0))))))))))</f>
        <v>FXSQ20A</v>
      </c>
    </row>
    <row r="30" spans="1:54" ht="13.95" hidden="1" customHeight="1" thickBot="1" x14ac:dyDescent="0.35">
      <c r="A30" t="s">
        <v>9</v>
      </c>
      <c r="B30" s="3">
        <v>26</v>
      </c>
      <c r="C30" s="64" t="s">
        <v>343</v>
      </c>
      <c r="D30" s="13" t="s">
        <v>84</v>
      </c>
      <c r="E30" s="13" t="s">
        <v>124</v>
      </c>
      <c r="F30" s="26" t="s">
        <v>103</v>
      </c>
      <c r="G30" s="14">
        <f>2.9*4.8</f>
        <v>13.92</v>
      </c>
      <c r="H30" s="14">
        <f t="shared" si="17"/>
        <v>13.92</v>
      </c>
      <c r="I30" s="15">
        <v>1</v>
      </c>
      <c r="J30" s="41"/>
      <c r="K30" s="19">
        <f t="shared" si="36"/>
        <v>1</v>
      </c>
      <c r="L30" s="41">
        <v>0</v>
      </c>
      <c r="M30" s="17">
        <v>0</v>
      </c>
      <c r="N30" s="17">
        <f>VLOOKUP(A30,Data!A:B,2,FALSE)</f>
        <v>5</v>
      </c>
      <c r="O30" s="19">
        <f t="shared" si="18"/>
        <v>0</v>
      </c>
      <c r="P30" s="16">
        <v>22</v>
      </c>
      <c r="Q30" s="14" t="s">
        <v>31</v>
      </c>
      <c r="R30" s="12">
        <f>VLOOKUP(A30,Data!A:D,4,FALSE)</f>
        <v>2.5</v>
      </c>
      <c r="S30" s="17">
        <f>VLOOKUP(A30,Data!A:C,3,FALSE)</f>
        <v>0.3</v>
      </c>
      <c r="T30" s="17"/>
      <c r="U30" s="17">
        <f t="shared" si="27"/>
        <v>6.6760000000000002</v>
      </c>
      <c r="V30" s="29">
        <f t="shared" si="21"/>
        <v>10</v>
      </c>
      <c r="W30" s="91">
        <v>-5</v>
      </c>
      <c r="X30" s="62"/>
      <c r="Y30" s="34"/>
      <c r="Z30" s="34">
        <f t="shared" si="28"/>
        <v>8.5</v>
      </c>
      <c r="AA30" s="31"/>
      <c r="AB30" s="92">
        <v>0</v>
      </c>
      <c r="AC30" s="132"/>
      <c r="AD30" s="93" t="str">
        <f t="shared" si="6"/>
        <v>Positive</v>
      </c>
      <c r="AE30" s="107">
        <f t="shared" si="7"/>
        <v>0.43</v>
      </c>
      <c r="AF30" s="106" t="b">
        <f t="shared" si="8"/>
        <v>1</v>
      </c>
      <c r="AG30" s="16"/>
      <c r="AH30" s="17"/>
      <c r="AI30" s="18"/>
      <c r="AJ30" s="20"/>
      <c r="AK30" s="16">
        <f>VLOOKUP(A30,Data!A:F,6,FALSE)</f>
        <v>10</v>
      </c>
      <c r="AL30" s="18">
        <f t="shared" si="2"/>
        <v>0.13919999999999999</v>
      </c>
      <c r="AM30" s="20">
        <f t="shared" si="19"/>
        <v>0.13919999999999999</v>
      </c>
      <c r="AN30" s="21"/>
      <c r="AO30" s="22"/>
      <c r="AP30" s="152">
        <v>1</v>
      </c>
      <c r="AQ30" s="152">
        <f t="shared" si="3"/>
        <v>0</v>
      </c>
      <c r="AR30" s="162">
        <v>1.6</v>
      </c>
      <c r="AS30" s="17">
        <f>IF(AR30&lt;=Sheet2!$D$2,Sheet2!$C$2,IF(AR30&lt;=Sheet2!$D$3,Sheet2!$C$3,IF(AR30&lt;=Sheet2!$D$4,Sheet2!$C$4,IF(AR30&lt;=Sheet2!$D$5,Sheet2!$C$5,IF(AR30&lt;=Sheet2!$D$6,Sheet2!$C$6,IF(AR30&lt;=Sheet2!$D$7,Sheet2!$C$7,IF(AR30&lt;=Sheet2!$D$8,Sheet2!$C$8,IF(AR30&lt;=Sheet2!$D$9,Sheet2!$C$9,IF(AR30&lt;=Sheet2!$D$10,Sheet2!$C$10,IF(AR30&lt;=Sheet2!$D$11,Sheet2!$C$11,0))))))))))</f>
        <v>150</v>
      </c>
      <c r="AT30" s="2">
        <f t="shared" si="9"/>
        <v>140</v>
      </c>
      <c r="AU30" s="22"/>
      <c r="AV30" s="22"/>
      <c r="AW30" s="22"/>
      <c r="AX30" s="22"/>
      <c r="AY30" s="22">
        <f t="shared" si="4"/>
        <v>10.775862068965518</v>
      </c>
      <c r="AZ30" s="39">
        <f t="shared" si="10"/>
        <v>390.80459770114948</v>
      </c>
      <c r="BA30" s="161" t="s">
        <v>373</v>
      </c>
      <c r="BB30" s="31" t="str">
        <f>IF(AR30&lt;=Sheet2!$D$2,Sheet2!$B$2,IF(AR30&lt;=Sheet2!$D$3,Sheet2!$B$3,IF(AR30&lt;=Sheet2!$D$4,Sheet2!$B$4,IF(AR30&lt;=Sheet2!$D$5,Sheet2!$B$5,IF(AR30&lt;=Sheet2!$D$6,Sheet2!$B$6,IF(AR30&lt;=Sheet2!$D$7,Sheet2!$B$7,IF(AR30&lt;=Sheet2!$D$8,Sheet2!$B$8,IF(AR30&lt;=Sheet2!$D$9,Sheet2!$B$9,IF(AR30&lt;=Sheet2!$D$10,Sheet2!$B$10,IF(AR30&lt;=Sheet2!$D$11,Sheet2!$B$11,0))))))))))</f>
        <v>FXSQ25A</v>
      </c>
    </row>
    <row r="31" spans="1:54" ht="15" hidden="1" thickBot="1" x14ac:dyDescent="0.35">
      <c r="A31" t="s">
        <v>109</v>
      </c>
      <c r="B31" s="3">
        <v>27</v>
      </c>
      <c r="C31" s="64" t="s">
        <v>343</v>
      </c>
      <c r="D31" s="27" t="s">
        <v>85</v>
      </c>
      <c r="E31" s="27" t="s">
        <v>128</v>
      </c>
      <c r="F31" s="28" t="s">
        <v>127</v>
      </c>
      <c r="G31" s="29">
        <f>3.8*4.8</f>
        <v>18.239999999999998</v>
      </c>
      <c r="H31" s="47">
        <f t="shared" si="17"/>
        <v>18.239999999999998</v>
      </c>
      <c r="I31" s="30">
        <v>1</v>
      </c>
      <c r="J31" s="42"/>
      <c r="K31" s="49">
        <f t="shared" si="36"/>
        <v>1</v>
      </c>
      <c r="L31" s="42">
        <v>0</v>
      </c>
      <c r="M31" s="2">
        <v>0</v>
      </c>
      <c r="N31" s="2">
        <f>VLOOKUP(A31,Data!A:B,2,FALSE)</f>
        <v>2</v>
      </c>
      <c r="O31" s="31">
        <f t="shared" si="18"/>
        <v>0</v>
      </c>
      <c r="P31" s="32">
        <v>22</v>
      </c>
      <c r="Q31" s="29" t="s">
        <v>31</v>
      </c>
      <c r="R31" s="33">
        <f>VLOOKUP(A31,Data!A:D,4,FALSE)</f>
        <v>0</v>
      </c>
      <c r="S31" s="2">
        <f>VLOOKUP(A31,Data!A:C,3,FALSE)</f>
        <v>0</v>
      </c>
      <c r="T31" s="2"/>
      <c r="U31" s="2">
        <f t="shared" si="27"/>
        <v>0</v>
      </c>
      <c r="V31" s="29"/>
      <c r="W31" s="91">
        <v>20</v>
      </c>
      <c r="X31" s="62"/>
      <c r="Y31" s="34"/>
      <c r="Z31" s="34">
        <f t="shared" si="28"/>
        <v>0</v>
      </c>
      <c r="AA31" s="31">
        <v>25</v>
      </c>
      <c r="AB31" s="92">
        <v>-25</v>
      </c>
      <c r="AC31" s="132"/>
      <c r="AD31" s="93" t="str">
        <f t="shared" si="6"/>
        <v>Negative</v>
      </c>
      <c r="AE31" s="107">
        <f t="shared" si="7"/>
        <v>0.33</v>
      </c>
      <c r="AF31" s="106" t="b">
        <f t="shared" si="8"/>
        <v>1</v>
      </c>
      <c r="AG31" s="32"/>
      <c r="AH31" s="2"/>
      <c r="AI31" s="35"/>
      <c r="AJ31" s="36"/>
      <c r="AK31" s="32">
        <f>VLOOKUP(A31,Data!A:F,6,FALSE)</f>
        <v>10</v>
      </c>
      <c r="AL31" s="35">
        <f t="shared" si="2"/>
        <v>0.18239999999999998</v>
      </c>
      <c r="AM31" s="36">
        <f t="shared" si="19"/>
        <v>0.18239999999999998</v>
      </c>
      <c r="AN31" s="37"/>
      <c r="AO31" s="38"/>
      <c r="AP31" s="151">
        <v>1</v>
      </c>
      <c r="AQ31" s="151">
        <f t="shared" si="3"/>
        <v>0</v>
      </c>
      <c r="AR31" s="161">
        <v>1.9</v>
      </c>
      <c r="AS31" s="2">
        <f>IF(AR31&lt;=Sheet2!$D$2,Sheet2!$C$2,IF(AR31&lt;=Sheet2!$D$3,Sheet2!$C$3,IF(AR31&lt;=Sheet2!$D$4,Sheet2!$C$4,IF(AR31&lt;=Sheet2!$D$5,Sheet2!$C$5,IF(AR31&lt;=Sheet2!$D$6,Sheet2!$C$6,IF(AR31&lt;=Sheet2!$D$7,Sheet2!$C$7,IF(AR31&lt;=Sheet2!$D$8,Sheet2!$C$8,IF(AR31&lt;=Sheet2!$D$9,Sheet2!$C$9,IF(AR31&lt;=Sheet2!$D$10,Sheet2!$C$10,IF(AR31&lt;=Sheet2!$D$11,Sheet2!$C$11,0))))))))))</f>
        <v>158</v>
      </c>
      <c r="AT31" s="2">
        <f t="shared" si="9"/>
        <v>158</v>
      </c>
      <c r="AU31" s="38"/>
      <c r="AV31" s="38"/>
      <c r="AW31" s="38"/>
      <c r="AX31" s="38"/>
      <c r="AY31" s="38">
        <f t="shared" si="4"/>
        <v>8.662280701754387</v>
      </c>
      <c r="AZ31" s="39">
        <f t="shared" si="10"/>
        <v>354.16666666666669</v>
      </c>
      <c r="BA31" s="161" t="s">
        <v>373</v>
      </c>
      <c r="BB31" s="31" t="str">
        <f>IF(AR31&lt;=Sheet2!$D$2,Sheet2!$B$2,IF(AR31&lt;=Sheet2!$D$3,Sheet2!$B$3,IF(AR31&lt;=Sheet2!$D$4,Sheet2!$B$4,IF(AR31&lt;=Sheet2!$D$5,Sheet2!$B$5,IF(AR31&lt;=Sheet2!$D$6,Sheet2!$B$6,IF(AR31&lt;=Sheet2!$D$7,Sheet2!$B$7,IF(AR31&lt;=Sheet2!$D$8,Sheet2!$B$8,IF(AR31&lt;=Sheet2!$D$9,Sheet2!$B$9,IF(AR31&lt;=Sheet2!$D$10,Sheet2!$B$10,IF(AR31&lt;=Sheet2!$D$11,Sheet2!$B$11,0))))))))))</f>
        <v>FXSQ32A</v>
      </c>
    </row>
    <row r="32" spans="1:54" ht="13.95" hidden="1" customHeight="1" thickBot="1" x14ac:dyDescent="0.35">
      <c r="A32" t="s">
        <v>9</v>
      </c>
      <c r="B32" s="3">
        <v>28</v>
      </c>
      <c r="C32" s="64" t="s">
        <v>343</v>
      </c>
      <c r="D32" s="13" t="s">
        <v>86</v>
      </c>
      <c r="E32" s="13" t="s">
        <v>106</v>
      </c>
      <c r="F32" s="26" t="s">
        <v>104</v>
      </c>
      <c r="G32" s="14">
        <v>44.4</v>
      </c>
      <c r="H32" s="14">
        <f t="shared" si="17"/>
        <v>44.4</v>
      </c>
      <c r="I32" s="15">
        <v>17</v>
      </c>
      <c r="J32" s="41"/>
      <c r="K32" s="19">
        <f t="shared" si="36"/>
        <v>17</v>
      </c>
      <c r="L32" s="41">
        <v>0</v>
      </c>
      <c r="M32" s="17">
        <v>1</v>
      </c>
      <c r="N32" s="17">
        <f>VLOOKUP(A32,Data!A:B,2,FALSE)</f>
        <v>5</v>
      </c>
      <c r="O32" s="19">
        <f t="shared" si="18"/>
        <v>0</v>
      </c>
      <c r="P32" s="16">
        <v>22</v>
      </c>
      <c r="Q32" s="14" t="s">
        <v>31</v>
      </c>
      <c r="R32" s="12">
        <f>VLOOKUP(A32,Data!A:D,4,FALSE)</f>
        <v>2.5</v>
      </c>
      <c r="S32" s="17">
        <f>VLOOKUP(A32,Data!A:C,3,FALSE)</f>
        <v>0.3</v>
      </c>
      <c r="T32" s="17"/>
      <c r="U32" s="17">
        <f t="shared" si="27"/>
        <v>55.82</v>
      </c>
      <c r="V32" s="29">
        <f t="shared" si="21"/>
        <v>60</v>
      </c>
      <c r="W32" s="91">
        <v>-20</v>
      </c>
      <c r="X32" s="62"/>
      <c r="Y32" s="34"/>
      <c r="Z32" s="34">
        <f t="shared" si="28"/>
        <v>51</v>
      </c>
      <c r="AA32" s="31"/>
      <c r="AB32" s="92">
        <v>-25</v>
      </c>
      <c r="AC32" s="132"/>
      <c r="AD32" s="93" t="str">
        <f t="shared" si="6"/>
        <v>Positive</v>
      </c>
      <c r="AE32" s="107">
        <f t="shared" si="7"/>
        <v>0.41</v>
      </c>
      <c r="AF32" s="106" t="b">
        <f t="shared" si="8"/>
        <v>1</v>
      </c>
      <c r="AG32" s="16"/>
      <c r="AH32" s="17"/>
      <c r="AI32" s="18"/>
      <c r="AJ32" s="20"/>
      <c r="AK32" s="16">
        <f>VLOOKUP(A32,Data!A:F,6,FALSE)</f>
        <v>10</v>
      </c>
      <c r="AL32" s="18">
        <f t="shared" si="2"/>
        <v>0.44400000000000001</v>
      </c>
      <c r="AM32" s="20">
        <f t="shared" si="19"/>
        <v>0.44400000000000001</v>
      </c>
      <c r="AN32" s="21"/>
      <c r="AO32" s="22"/>
      <c r="AP32" s="152">
        <v>1</v>
      </c>
      <c r="AQ32" s="152">
        <f t="shared" si="3"/>
        <v>0</v>
      </c>
      <c r="AR32" s="162">
        <v>5.8</v>
      </c>
      <c r="AS32" s="17">
        <f>IF(AR32&lt;=Sheet2!$D$2,Sheet2!$C$2,IF(AR32&lt;=Sheet2!$D$3,Sheet2!$C$3,IF(AR32&lt;=Sheet2!$D$4,Sheet2!$C$4,IF(AR32&lt;=Sheet2!$D$5,Sheet2!$C$5,IF(AR32&lt;=Sheet2!$D$6,Sheet2!$C$6,IF(AR32&lt;=Sheet2!$D$7,Sheet2!$C$7,IF(AR32&lt;=Sheet2!$D$8,Sheet2!$C$8,IF(AR32&lt;=Sheet2!$D$9,Sheet2!$C$9,IF(AR32&lt;=Sheet2!$D$10,Sheet2!$C$10,IF(AR32&lt;=Sheet2!$D$11,Sheet2!$C$11,0))))))))))</f>
        <v>383</v>
      </c>
      <c r="AT32" s="2">
        <f t="shared" si="9"/>
        <v>323</v>
      </c>
      <c r="AU32" s="22"/>
      <c r="AV32" s="22"/>
      <c r="AW32" s="22"/>
      <c r="AX32" s="22"/>
      <c r="AY32" s="22">
        <f t="shared" si="4"/>
        <v>8.6261261261261257</v>
      </c>
      <c r="AZ32" s="39">
        <f t="shared" si="10"/>
        <v>444.14414414414415</v>
      </c>
      <c r="BA32" s="161" t="s">
        <v>373</v>
      </c>
      <c r="BB32" s="31" t="str">
        <f>IF(AR32&lt;=Sheet2!$D$2,Sheet2!$B$2,IF(AR32&lt;=Sheet2!$D$3,Sheet2!$B$3,IF(AR32&lt;=Sheet2!$D$4,Sheet2!$B$4,IF(AR32&lt;=Sheet2!$D$5,Sheet2!$B$5,IF(AR32&lt;=Sheet2!$D$6,Sheet2!$B$6,IF(AR32&lt;=Sheet2!$D$7,Sheet2!$B$7,IF(AR32&lt;=Sheet2!$D$8,Sheet2!$B$8,IF(AR32&lt;=Sheet2!$D$9,Sheet2!$B$9,IF(AR32&lt;=Sheet2!$D$10,Sheet2!$B$10,IF(AR32&lt;=Sheet2!$D$11,Sheet2!$B$11,0))))))))))</f>
        <v>FXSQ80A</v>
      </c>
    </row>
    <row r="33" spans="1:54" ht="15" hidden="1" thickBot="1" x14ac:dyDescent="0.35">
      <c r="A33" t="s">
        <v>171</v>
      </c>
      <c r="B33" s="3">
        <v>29</v>
      </c>
      <c r="C33" s="64" t="s">
        <v>343</v>
      </c>
      <c r="D33" s="27" t="s">
        <v>87</v>
      </c>
      <c r="E33" s="27" t="s">
        <v>132</v>
      </c>
      <c r="F33" s="28" t="s">
        <v>129</v>
      </c>
      <c r="G33" s="29">
        <f>3.3*6.6</f>
        <v>21.779999999999998</v>
      </c>
      <c r="H33" s="47">
        <f t="shared" si="17"/>
        <v>21.779999999999998</v>
      </c>
      <c r="I33" s="30">
        <v>0</v>
      </c>
      <c r="J33" s="42"/>
      <c r="K33" s="49">
        <f t="shared" si="36"/>
        <v>0</v>
      </c>
      <c r="L33" s="42">
        <v>0</v>
      </c>
      <c r="M33" s="2">
        <v>1</v>
      </c>
      <c r="N33" s="2">
        <f>VLOOKUP(A33,Data!A:B,2,FALSE)</f>
        <v>0</v>
      </c>
      <c r="O33" s="31">
        <f t="shared" si="18"/>
        <v>0</v>
      </c>
      <c r="P33" s="32">
        <v>22</v>
      </c>
      <c r="Q33" s="29" t="s">
        <v>31</v>
      </c>
      <c r="R33" s="33">
        <f>VLOOKUP(A33,Data!A:D,4,FALSE)</f>
        <v>0</v>
      </c>
      <c r="S33" s="2">
        <f>VLOOKUP(A33,Data!A:C,3,FALSE)</f>
        <v>0.3</v>
      </c>
      <c r="T33" s="2"/>
      <c r="U33" s="2">
        <f t="shared" si="27"/>
        <v>6.5339999999999989</v>
      </c>
      <c r="V33" s="29"/>
      <c r="W33" s="91">
        <v>15</v>
      </c>
      <c r="X33" s="62"/>
      <c r="Y33" s="34"/>
      <c r="Z33" s="34">
        <f t="shared" si="28"/>
        <v>0</v>
      </c>
      <c r="AA33" s="31">
        <v>25</v>
      </c>
      <c r="AB33" s="92">
        <v>-25</v>
      </c>
      <c r="AC33" s="132"/>
      <c r="AD33" s="93" t="str">
        <f t="shared" si="6"/>
        <v>Negative</v>
      </c>
      <c r="AE33" s="107">
        <f t="shared" si="7"/>
        <v>0.55000000000000004</v>
      </c>
      <c r="AF33" s="106" t="b">
        <f t="shared" si="8"/>
        <v>1</v>
      </c>
      <c r="AG33" s="32"/>
      <c r="AH33" s="2"/>
      <c r="AI33" s="35"/>
      <c r="AJ33" s="36"/>
      <c r="AK33" s="32">
        <f>VLOOKUP(A33,Data!A:F,6,FALSE)</f>
        <v>10</v>
      </c>
      <c r="AL33" s="35">
        <f t="shared" si="2"/>
        <v>0.21779999999999999</v>
      </c>
      <c r="AM33" s="36">
        <f t="shared" si="19"/>
        <v>0.21779999999999999</v>
      </c>
      <c r="AN33" s="37"/>
      <c r="AO33" s="38"/>
      <c r="AP33" s="151">
        <v>1</v>
      </c>
      <c r="AQ33" s="151">
        <f t="shared" si="3"/>
        <v>0</v>
      </c>
      <c r="AR33" s="161">
        <v>2.8</v>
      </c>
      <c r="AS33" s="2">
        <f>IF(AR33&lt;=Sheet2!$D$2,Sheet2!$C$2,IF(AR33&lt;=Sheet2!$D$3,Sheet2!$C$3,IF(AR33&lt;=Sheet2!$D$4,Sheet2!$C$4,IF(AR33&lt;=Sheet2!$D$5,Sheet2!$C$5,IF(AR33&lt;=Sheet2!$D$6,Sheet2!$C$6,IF(AR33&lt;=Sheet2!$D$7,Sheet2!$C$7,IF(AR33&lt;=Sheet2!$D$8,Sheet2!$C$8,IF(AR33&lt;=Sheet2!$D$9,Sheet2!$C$9,IF(AR33&lt;=Sheet2!$D$10,Sheet2!$C$10,IF(AR33&lt;=Sheet2!$D$11,Sheet2!$C$11,0))))))))))</f>
        <v>250</v>
      </c>
      <c r="AT33" s="2">
        <f t="shared" si="9"/>
        <v>250</v>
      </c>
      <c r="AU33" s="38"/>
      <c r="AV33" s="38"/>
      <c r="AW33" s="38"/>
      <c r="AX33" s="38"/>
      <c r="AY33" s="38">
        <f t="shared" si="4"/>
        <v>11.478420569329662</v>
      </c>
      <c r="AZ33" s="39">
        <f t="shared" si="10"/>
        <v>437.09825528007354</v>
      </c>
      <c r="BA33" s="161" t="s">
        <v>373</v>
      </c>
      <c r="BB33" s="31" t="str">
        <f>IF(AR33&lt;=Sheet2!$D$2,Sheet2!$B$2,IF(AR33&lt;=Sheet2!$D$3,Sheet2!$B$3,IF(AR33&lt;=Sheet2!$D$4,Sheet2!$B$4,IF(AR33&lt;=Sheet2!$D$5,Sheet2!$B$5,IF(AR33&lt;=Sheet2!$D$6,Sheet2!$B$6,IF(AR33&lt;=Sheet2!$D$7,Sheet2!$B$7,IF(AR33&lt;=Sheet2!$D$8,Sheet2!$B$8,IF(AR33&lt;=Sheet2!$D$9,Sheet2!$B$9,IF(AR33&lt;=Sheet2!$D$10,Sheet2!$B$10,IF(AR33&lt;=Sheet2!$D$11,Sheet2!$B$11,0))))))))))</f>
        <v>FXSQ40A</v>
      </c>
    </row>
    <row r="34" spans="1:54" ht="13.95" hidden="1" customHeight="1" thickBot="1" x14ac:dyDescent="0.35">
      <c r="A34" t="s">
        <v>110</v>
      </c>
      <c r="B34" s="3">
        <v>30</v>
      </c>
      <c r="C34" s="64"/>
      <c r="D34" s="13" t="s">
        <v>88</v>
      </c>
      <c r="E34" s="13" t="s">
        <v>77</v>
      </c>
      <c r="F34" s="26" t="s">
        <v>74</v>
      </c>
      <c r="G34" s="14">
        <f>5.1*5.9</f>
        <v>30.09</v>
      </c>
      <c r="H34" s="14">
        <f>G34</f>
        <v>30.09</v>
      </c>
      <c r="I34" s="15">
        <v>5</v>
      </c>
      <c r="J34" s="41"/>
      <c r="K34" s="19">
        <f t="shared" si="36"/>
        <v>5</v>
      </c>
      <c r="L34" s="41">
        <v>0</v>
      </c>
      <c r="M34" s="17">
        <v>8</v>
      </c>
      <c r="N34" s="17">
        <f>VLOOKUP(A34,Data!A:B,2,FALSE)</f>
        <v>0</v>
      </c>
      <c r="O34" s="19">
        <f t="shared" si="18"/>
        <v>0</v>
      </c>
      <c r="P34" s="16">
        <v>22</v>
      </c>
      <c r="Q34" s="14" t="s">
        <v>31</v>
      </c>
      <c r="R34" s="12">
        <f>VLOOKUP(A34,Data!A:D,4,FALSE)</f>
        <v>0</v>
      </c>
      <c r="S34" s="17">
        <f>VLOOKUP(A34,Data!A:C,3,FALSE)</f>
        <v>0</v>
      </c>
      <c r="T34" s="17"/>
      <c r="U34" s="17">
        <f t="shared" si="27"/>
        <v>0</v>
      </c>
      <c r="V34" s="29">
        <f t="shared" si="21"/>
        <v>0</v>
      </c>
      <c r="W34" s="91"/>
      <c r="X34" s="62">
        <v>25</v>
      </c>
      <c r="Y34" s="34">
        <v>6</v>
      </c>
      <c r="Z34" s="34">
        <f>Y34*X34</f>
        <v>150</v>
      </c>
      <c r="AA34" s="31">
        <f t="shared" si="5"/>
        <v>150</v>
      </c>
      <c r="AB34" s="92">
        <f t="shared" ref="AB34:AB39" si="37">(CEILING(AA34,1))*-1</f>
        <v>-150</v>
      </c>
      <c r="AC34" s="132"/>
      <c r="AD34" s="93" t="str">
        <f t="shared" si="6"/>
        <v>Negative</v>
      </c>
      <c r="AE34" s="107">
        <f t="shared" si="7"/>
        <v>5.98</v>
      </c>
      <c r="AF34" s="106" t="b">
        <f t="shared" si="8"/>
        <v>0</v>
      </c>
      <c r="AG34" s="16"/>
      <c r="AH34" s="17"/>
      <c r="AI34" s="18"/>
      <c r="AJ34" s="20"/>
      <c r="AK34" s="16">
        <f>VLOOKUP(A34,Data!A:F,6,FALSE)</f>
        <v>10</v>
      </c>
      <c r="AL34" s="18">
        <f t="shared" si="2"/>
        <v>0.3009</v>
      </c>
      <c r="AM34" s="20">
        <f t="shared" si="19"/>
        <v>0.3009</v>
      </c>
      <c r="AN34" s="21"/>
      <c r="AO34" s="22"/>
      <c r="AP34" s="152">
        <v>1</v>
      </c>
      <c r="AQ34" s="152">
        <f t="shared" si="3"/>
        <v>0</v>
      </c>
      <c r="AR34" s="162">
        <v>2.8</v>
      </c>
      <c r="AS34" s="17">
        <f>IF(AR34&lt;=Sheet2!$D$2,Sheet2!$C$2,IF(AR34&lt;=Sheet2!$D$3,Sheet2!$C$3,IF(AR34&lt;=Sheet2!$D$4,Sheet2!$C$4,IF(AR34&lt;=Sheet2!$D$5,Sheet2!$C$5,IF(AR34&lt;=Sheet2!$D$6,Sheet2!$C$6,IF(AR34&lt;=Sheet2!$D$7,Sheet2!$C$7,IF(AR34&lt;=Sheet2!$D$8,Sheet2!$C$8,IF(AR34&lt;=Sheet2!$D$9,Sheet2!$C$9,IF(AR34&lt;=Sheet2!$D$10,Sheet2!$C$10,IF(AR34&lt;=Sheet2!$D$11,Sheet2!$C$11,0))))))))))</f>
        <v>250</v>
      </c>
      <c r="AT34" s="2">
        <f t="shared" si="9"/>
        <v>250</v>
      </c>
      <c r="AU34" s="22"/>
      <c r="AV34" s="22"/>
      <c r="AW34" s="22"/>
      <c r="AX34" s="22"/>
      <c r="AY34" s="22"/>
      <c r="AZ34" s="39">
        <f t="shared" si="10"/>
        <v>316.38418079096039</v>
      </c>
      <c r="BA34" s="31" t="s">
        <v>371</v>
      </c>
      <c r="BB34" s="31"/>
    </row>
    <row r="35" spans="1:54" ht="15" hidden="1" thickBot="1" x14ac:dyDescent="0.35">
      <c r="A35" t="s">
        <v>115</v>
      </c>
      <c r="B35" s="3">
        <v>31</v>
      </c>
      <c r="C35" s="64"/>
      <c r="D35" s="27" t="s">
        <v>89</v>
      </c>
      <c r="E35" s="27" t="s">
        <v>133</v>
      </c>
      <c r="F35" s="28" t="s">
        <v>130</v>
      </c>
      <c r="G35" s="29">
        <f>4*3.5</f>
        <v>14</v>
      </c>
      <c r="H35" s="47">
        <f t="shared" si="17"/>
        <v>14</v>
      </c>
      <c r="I35" s="30">
        <v>6</v>
      </c>
      <c r="J35" s="42"/>
      <c r="K35" s="49">
        <f t="shared" si="36"/>
        <v>6</v>
      </c>
      <c r="L35" s="42">
        <v>0</v>
      </c>
      <c r="M35" s="2">
        <v>1</v>
      </c>
      <c r="N35" s="2">
        <f>VLOOKUP(A35,Data!A:B,2,FALSE)</f>
        <v>0</v>
      </c>
      <c r="O35" s="31">
        <f t="shared" si="18"/>
        <v>0</v>
      </c>
      <c r="P35" s="32">
        <v>22</v>
      </c>
      <c r="Q35" s="29" t="s">
        <v>31</v>
      </c>
      <c r="R35" s="33">
        <f>VLOOKUP(A35,Data!A:D,4,FALSE)</f>
        <v>0</v>
      </c>
      <c r="S35" s="2">
        <f>VLOOKUP(A35,Data!A:C,3,FALSE)</f>
        <v>0</v>
      </c>
      <c r="T35" s="2"/>
      <c r="U35" s="2">
        <f>AA35*0.85</f>
        <v>15.299999999999999</v>
      </c>
      <c r="V35" s="29">
        <f t="shared" si="21"/>
        <v>20</v>
      </c>
      <c r="W35" s="91"/>
      <c r="X35" s="62">
        <f>VLOOKUP(A35,Data!A:E,5,FALSE)</f>
        <v>1.25</v>
      </c>
      <c r="Y35" s="34"/>
      <c r="Z35" s="34">
        <f>G35*X35</f>
        <v>17.5</v>
      </c>
      <c r="AA35" s="31">
        <f t="shared" si="5"/>
        <v>18</v>
      </c>
      <c r="AB35" s="92">
        <f t="shared" si="37"/>
        <v>-18</v>
      </c>
      <c r="AC35" s="132"/>
      <c r="AD35" s="93" t="str">
        <f t="shared" si="6"/>
        <v>Positive</v>
      </c>
      <c r="AE35" s="107">
        <f t="shared" si="7"/>
        <v>0.17</v>
      </c>
      <c r="AF35" s="106" t="b">
        <f t="shared" si="8"/>
        <v>0</v>
      </c>
      <c r="AG35" s="32"/>
      <c r="AH35" s="2"/>
      <c r="AI35" s="35"/>
      <c r="AJ35" s="36"/>
      <c r="AK35" s="32">
        <f>VLOOKUP(A35,Data!A:F,6,FALSE)</f>
        <v>10</v>
      </c>
      <c r="AL35" s="35">
        <f t="shared" si="2"/>
        <v>0.14000000000000001</v>
      </c>
      <c r="AM35" s="36">
        <f t="shared" si="19"/>
        <v>0.14000000000000001</v>
      </c>
      <c r="AN35" s="37"/>
      <c r="AO35" s="38"/>
      <c r="AP35" s="151">
        <v>1</v>
      </c>
      <c r="AQ35" s="151">
        <f t="shared" si="3"/>
        <v>0</v>
      </c>
      <c r="AR35" s="161">
        <v>5.6</v>
      </c>
      <c r="AS35" s="2">
        <f>IF(AR35&lt;=Sheet2!$D$2,Sheet2!$C$2,IF(AR35&lt;=Sheet2!$D$3,Sheet2!$C$3,IF(AR35&lt;=Sheet2!$D$4,Sheet2!$C$4,IF(AR35&lt;=Sheet2!$D$5,Sheet2!$C$5,IF(AR35&lt;=Sheet2!$D$6,Sheet2!$C$6,IF(AR35&lt;=Sheet2!$D$7,Sheet2!$C$7,IF(AR35&lt;=Sheet2!$D$8,Sheet2!$C$8,IF(AR35&lt;=Sheet2!$D$9,Sheet2!$C$9,IF(AR35&lt;=Sheet2!$D$10,Sheet2!$C$10,IF(AR35&lt;=Sheet2!$D$11,Sheet2!$C$11,0))))))))))</f>
        <v>383</v>
      </c>
      <c r="AT35" s="2">
        <f t="shared" si="9"/>
        <v>363</v>
      </c>
      <c r="AU35" s="38"/>
      <c r="AV35" s="38"/>
      <c r="AW35" s="38"/>
      <c r="AX35" s="38"/>
      <c r="AY35" s="38"/>
      <c r="AZ35" s="39">
        <f t="shared" si="10"/>
        <v>1359.9999999999998</v>
      </c>
      <c r="BA35" s="31" t="s">
        <v>371</v>
      </c>
      <c r="BB35" s="31"/>
    </row>
    <row r="36" spans="1:54" ht="13.95" hidden="1" customHeight="1" thickBot="1" x14ac:dyDescent="0.35">
      <c r="A36" t="s">
        <v>114</v>
      </c>
      <c r="B36" s="3">
        <v>32</v>
      </c>
      <c r="C36" s="64"/>
      <c r="D36" s="13" t="s">
        <v>90</v>
      </c>
      <c r="E36" s="13" t="s">
        <v>114</v>
      </c>
      <c r="F36" s="26" t="s">
        <v>131</v>
      </c>
      <c r="G36" s="14">
        <f>6*5.9</f>
        <v>35.400000000000006</v>
      </c>
      <c r="H36" s="14">
        <f t="shared" si="17"/>
        <v>35.400000000000006</v>
      </c>
      <c r="I36" s="15">
        <v>25</v>
      </c>
      <c r="J36" s="41"/>
      <c r="K36" s="19">
        <f t="shared" si="36"/>
        <v>25</v>
      </c>
      <c r="L36" s="41">
        <v>0</v>
      </c>
      <c r="M36" s="17">
        <v>3</v>
      </c>
      <c r="N36" s="17">
        <f>VLOOKUP(A36,Data!A:B,2,FALSE)</f>
        <v>120</v>
      </c>
      <c r="O36" s="19">
        <f t="shared" si="18"/>
        <v>0</v>
      </c>
      <c r="P36" s="16">
        <v>22</v>
      </c>
      <c r="Q36" s="14" t="s">
        <v>31</v>
      </c>
      <c r="R36" s="12">
        <f>VLOOKUP(A36,Data!A:D,4,FALSE)</f>
        <v>2.5</v>
      </c>
      <c r="S36" s="17">
        <f>VLOOKUP(A36,Data!A:C,3,FALSE)</f>
        <v>0.3</v>
      </c>
      <c r="T36" s="17"/>
      <c r="U36" s="17">
        <f t="shared" si="27"/>
        <v>73.12</v>
      </c>
      <c r="V36" s="29">
        <f t="shared" si="21"/>
        <v>75</v>
      </c>
      <c r="W36" s="91"/>
      <c r="X36" s="62"/>
      <c r="Y36" s="34"/>
      <c r="Z36" s="34">
        <f t="shared" ref="Z36:Z69" si="38">0.85*V36</f>
        <v>63.75</v>
      </c>
      <c r="AA36" s="31">
        <f t="shared" si="5"/>
        <v>64</v>
      </c>
      <c r="AB36" s="92">
        <f t="shared" si="37"/>
        <v>-64</v>
      </c>
      <c r="AC36" s="132"/>
      <c r="AD36" s="93" t="str">
        <f t="shared" si="6"/>
        <v>Positive</v>
      </c>
      <c r="AE36" s="107">
        <f t="shared" si="7"/>
        <v>0.37</v>
      </c>
      <c r="AF36" s="106" t="b">
        <f t="shared" si="8"/>
        <v>1</v>
      </c>
      <c r="AG36" s="16"/>
      <c r="AH36" s="17"/>
      <c r="AI36" s="18"/>
      <c r="AJ36" s="20"/>
      <c r="AK36" s="16">
        <f>VLOOKUP(A36,Data!A:F,6,FALSE)</f>
        <v>10</v>
      </c>
      <c r="AL36" s="18">
        <f t="shared" si="2"/>
        <v>0.35400000000000004</v>
      </c>
      <c r="AM36" s="20">
        <f t="shared" si="19"/>
        <v>0.35400000000000004</v>
      </c>
      <c r="AN36" s="21"/>
      <c r="AO36" s="22"/>
      <c r="AP36" s="152">
        <v>1</v>
      </c>
      <c r="AQ36" s="152">
        <f t="shared" si="3"/>
        <v>0</v>
      </c>
      <c r="AR36" s="162">
        <v>11.9</v>
      </c>
      <c r="AS36" s="17">
        <f>IF(AR36&lt;=Sheet2!$D$2,Sheet2!$C$2,IF(AR36&lt;=Sheet2!$D$3,Sheet2!$C$3,IF(AR36&lt;=Sheet2!$D$4,Sheet2!$C$4,IF(AR36&lt;=Sheet2!$D$5,Sheet2!$C$5,IF(AR36&lt;=Sheet2!$D$6,Sheet2!$C$6,IF(AR36&lt;=Sheet2!$D$7,Sheet2!$C$7,IF(AR36&lt;=Sheet2!$D$8,Sheet2!$C$8,IF(AR36&lt;=Sheet2!$D$9,Sheet2!$C$9,IF(AR36&lt;=Sheet2!$D$10,Sheet2!$C$10,IF(AR36&lt;=Sheet2!$D$11,Sheet2!$C$11,0))))))))))</f>
        <v>0</v>
      </c>
      <c r="AT36" s="2">
        <f t="shared" si="9"/>
        <v>-75</v>
      </c>
      <c r="AU36" s="22"/>
      <c r="AV36" s="22"/>
      <c r="AW36" s="22"/>
      <c r="AX36" s="22"/>
      <c r="AY36" s="22"/>
      <c r="AZ36" s="39">
        <f t="shared" si="10"/>
        <v>1142.9378531073446</v>
      </c>
      <c r="BA36" s="31" t="s">
        <v>371</v>
      </c>
      <c r="BB36" s="31"/>
    </row>
    <row r="37" spans="1:54" ht="15" hidden="1" thickBot="1" x14ac:dyDescent="0.35">
      <c r="A37" t="s">
        <v>113</v>
      </c>
      <c r="B37" s="3">
        <v>33</v>
      </c>
      <c r="C37" s="64"/>
      <c r="D37" s="27" t="s">
        <v>91</v>
      </c>
      <c r="E37" s="27" t="s">
        <v>113</v>
      </c>
      <c r="F37" s="28" t="s">
        <v>134</v>
      </c>
      <c r="G37" s="29">
        <v>290.10000000000002</v>
      </c>
      <c r="H37" s="47">
        <f t="shared" si="17"/>
        <v>290.10000000000002</v>
      </c>
      <c r="I37" s="30">
        <f>16*2*4</f>
        <v>128</v>
      </c>
      <c r="J37" s="42"/>
      <c r="K37" s="49">
        <f t="shared" si="36"/>
        <v>128</v>
      </c>
      <c r="L37" s="42">
        <v>0</v>
      </c>
      <c r="M37" s="2">
        <v>1</v>
      </c>
      <c r="N37" s="2">
        <f>VLOOKUP(A37,Data!A:B,2,FALSE)</f>
        <v>100</v>
      </c>
      <c r="O37" s="31">
        <f t="shared" si="18"/>
        <v>0</v>
      </c>
      <c r="P37" s="32">
        <v>22</v>
      </c>
      <c r="Q37" s="29" t="s">
        <v>31</v>
      </c>
      <c r="R37" s="33">
        <f>VLOOKUP(A37,Data!A:D,4,FALSE)</f>
        <v>3.8</v>
      </c>
      <c r="S37" s="2">
        <f>VLOOKUP(A37,Data!A:C,3,FALSE)</f>
        <v>0.9</v>
      </c>
      <c r="T37" s="2"/>
      <c r="U37" s="2">
        <f t="shared" si="27"/>
        <v>747.49</v>
      </c>
      <c r="V37" s="29">
        <f t="shared" si="21"/>
        <v>750</v>
      </c>
      <c r="W37" s="91"/>
      <c r="X37" s="62"/>
      <c r="Y37" s="34"/>
      <c r="Z37" s="34">
        <f t="shared" si="38"/>
        <v>637.5</v>
      </c>
      <c r="AA37" s="31">
        <f t="shared" si="5"/>
        <v>638</v>
      </c>
      <c r="AB37" s="92">
        <f t="shared" si="37"/>
        <v>-638</v>
      </c>
      <c r="AC37" s="132"/>
      <c r="AD37" s="93" t="str">
        <f t="shared" si="6"/>
        <v>Positive</v>
      </c>
      <c r="AE37" s="107">
        <f t="shared" si="7"/>
        <v>0.46</v>
      </c>
      <c r="AF37" s="106" t="b">
        <f t="shared" si="8"/>
        <v>1</v>
      </c>
      <c r="AG37" s="32"/>
      <c r="AH37" s="2"/>
      <c r="AI37" s="35"/>
      <c r="AJ37" s="36"/>
      <c r="AK37" s="32">
        <f>VLOOKUP(A37,Data!A:F,6,FALSE)</f>
        <v>10</v>
      </c>
      <c r="AL37" s="35">
        <f t="shared" ref="AL37:AL68" si="39">AK37*G37/1000</f>
        <v>2.9009999999999998</v>
      </c>
      <c r="AM37" s="36">
        <f t="shared" si="19"/>
        <v>2.9009999999999998</v>
      </c>
      <c r="AN37" s="37"/>
      <c r="AO37" s="38"/>
      <c r="AP37" s="151">
        <v>1</v>
      </c>
      <c r="AQ37" s="151">
        <f t="shared" si="3"/>
        <v>0</v>
      </c>
      <c r="AR37" s="151">
        <f>IF(AQ37&lt;Sheet2!$D$2,Sheet2!$D$2,IF(AQ37&lt;Sheet2!$D$3,Sheet2!$D$3,IF(AQ37&lt;Sheet2!$D$4,Sheet2!$D$4,IF(AQ37&lt;Sheet2!$D$5,Sheet2!$D$5,IF(AQ37&lt;Sheet2!$D$6,Sheet2!$D$6,IF(AQ37&lt;Sheet2!$D$7,Sheet2!$D$7,IF(AQ37&lt;Sheet2!$D$8,Sheet2!$D$8,IF(AQ37&lt;Sheet2!$D$9,Sheet2!$D$9,IF(AQ37&lt;Sheet2!$D$10,Sheet2!$D$10,IF(AQ37&lt;Sheet2!$D$11,0))))))))))</f>
        <v>1.5</v>
      </c>
      <c r="AS37" s="2">
        <f>IF(AR37&lt;=Sheet2!$D$2,Sheet2!$C$2,IF(AR37&lt;=Sheet2!$D$3,Sheet2!$C$3,IF(AR37&lt;=Sheet2!$D$4,Sheet2!$C$4,IF(AR37&lt;=Sheet2!$D$5,Sheet2!$C$5,IF(AR37&lt;=Sheet2!$D$6,Sheet2!$C$6,IF(AR37&lt;=Sheet2!$D$7,Sheet2!$C$7,IF(AR37&lt;=Sheet2!$D$8,Sheet2!$C$8,IF(AR37&lt;=Sheet2!$D$9,Sheet2!$C$9,IF(AR37&lt;=Sheet2!$D$10,Sheet2!$C$10,IF(AR37&lt;=Sheet2!$D$11,Sheet2!$C$11,0))))))))))</f>
        <v>150</v>
      </c>
      <c r="AT37" s="2">
        <f t="shared" si="9"/>
        <v>-600</v>
      </c>
      <c r="AU37" s="38"/>
      <c r="AV37" s="38"/>
      <c r="AW37" s="38"/>
      <c r="AX37" s="38"/>
      <c r="AY37" s="38"/>
      <c r="AZ37" s="39">
        <f t="shared" si="10"/>
        <v>17.580144777662873</v>
      </c>
      <c r="BA37" s="31" t="s">
        <v>371</v>
      </c>
      <c r="BB37" s="31"/>
    </row>
    <row r="38" spans="1:54" ht="13.95" hidden="1" customHeight="1" thickBot="1" x14ac:dyDescent="0.35">
      <c r="A38" t="s">
        <v>9</v>
      </c>
      <c r="B38" s="3">
        <v>34</v>
      </c>
      <c r="C38" s="64" t="s">
        <v>345</v>
      </c>
      <c r="D38" s="13" t="s">
        <v>92</v>
      </c>
      <c r="E38" s="13" t="s">
        <v>143</v>
      </c>
      <c r="F38" s="26" t="s">
        <v>142</v>
      </c>
      <c r="G38" s="14">
        <f>3.4*4</f>
        <v>13.6</v>
      </c>
      <c r="H38" s="14">
        <f t="shared" si="17"/>
        <v>13.6</v>
      </c>
      <c r="I38" s="15">
        <v>3</v>
      </c>
      <c r="J38" s="41"/>
      <c r="K38" s="19">
        <f t="shared" si="36"/>
        <v>3</v>
      </c>
      <c r="L38" s="41">
        <v>0</v>
      </c>
      <c r="M38" s="17">
        <v>0</v>
      </c>
      <c r="N38" s="17">
        <f>VLOOKUP(A38,Data!A:B,2,FALSE)</f>
        <v>5</v>
      </c>
      <c r="O38" s="19">
        <f t="shared" si="18"/>
        <v>0</v>
      </c>
      <c r="P38" s="16">
        <v>22</v>
      </c>
      <c r="Q38" s="14" t="s">
        <v>31</v>
      </c>
      <c r="R38" s="12">
        <f>VLOOKUP(A38,Data!A:D,4,FALSE)</f>
        <v>2.5</v>
      </c>
      <c r="S38" s="17">
        <f>VLOOKUP(A38,Data!A:C,3,FALSE)</f>
        <v>0.3</v>
      </c>
      <c r="T38" s="17"/>
      <c r="U38" s="17">
        <f t="shared" si="27"/>
        <v>11.58</v>
      </c>
      <c r="V38" s="29">
        <f t="shared" si="21"/>
        <v>15</v>
      </c>
      <c r="W38" s="91"/>
      <c r="X38" s="62"/>
      <c r="Y38" s="34"/>
      <c r="Z38" s="34">
        <f t="shared" si="38"/>
        <v>12.75</v>
      </c>
      <c r="AA38" s="31">
        <f t="shared" si="5"/>
        <v>13</v>
      </c>
      <c r="AB38" s="92"/>
      <c r="AC38" s="1">
        <v>-10</v>
      </c>
      <c r="AD38" s="93" t="str">
        <f t="shared" si="6"/>
        <v>Positive</v>
      </c>
      <c r="AE38" s="107">
        <f t="shared" si="7"/>
        <v>0.44</v>
      </c>
      <c r="AF38" s="106" t="b">
        <f t="shared" si="8"/>
        <v>1</v>
      </c>
      <c r="AG38" s="16"/>
      <c r="AH38" s="17"/>
      <c r="AI38" s="18"/>
      <c r="AJ38" s="20"/>
      <c r="AK38" s="16">
        <f>VLOOKUP(A38,Data!A:F,6,FALSE)</f>
        <v>10</v>
      </c>
      <c r="AL38" s="18">
        <f t="shared" si="39"/>
        <v>0.13600000000000001</v>
      </c>
      <c r="AM38" s="20">
        <f t="shared" si="19"/>
        <v>0.13600000000000001</v>
      </c>
      <c r="AN38" s="21"/>
      <c r="AO38" s="22"/>
      <c r="AP38" s="152">
        <v>1</v>
      </c>
      <c r="AQ38" s="152">
        <f t="shared" si="3"/>
        <v>0</v>
      </c>
      <c r="AR38" s="161">
        <v>3.1</v>
      </c>
      <c r="AS38" s="17">
        <f>IF(AR38&lt;=Sheet2!$D$2,Sheet2!$C$2,IF(AR38&lt;=Sheet2!$D$3,Sheet2!$C$3,IF(AR38&lt;=Sheet2!$D$4,Sheet2!$C$4,IF(AR38&lt;=Sheet2!$D$5,Sheet2!$C$5,IF(AR38&lt;=Sheet2!$D$6,Sheet2!$C$6,IF(AR38&lt;=Sheet2!$D$7,Sheet2!$C$7,IF(AR38&lt;=Sheet2!$D$8,Sheet2!$C$8,IF(AR38&lt;=Sheet2!$D$9,Sheet2!$C$9,IF(AR38&lt;=Sheet2!$D$10,Sheet2!$C$10,IF(AR38&lt;=Sheet2!$D$11,Sheet2!$C$11,0))))))))))</f>
        <v>253</v>
      </c>
      <c r="AT38" s="2">
        <f t="shared" si="9"/>
        <v>238</v>
      </c>
      <c r="AU38" s="22"/>
      <c r="AV38" s="22"/>
      <c r="AW38" s="22"/>
      <c r="AX38" s="22"/>
      <c r="AY38" s="22">
        <f t="shared" ref="AY38:AY68" si="40">AS38/H38</f>
        <v>18.602941176470587</v>
      </c>
      <c r="AZ38" s="39">
        <f t="shared" si="10"/>
        <v>775.00000000000011</v>
      </c>
      <c r="BA38" s="161" t="s">
        <v>375</v>
      </c>
      <c r="BB38" s="31" t="str">
        <f>IF(AR38&lt;=Sheet2!$D$2,Sheet2!$B$2,IF(AR38&lt;=Sheet2!$D$3,Sheet2!$B$3,IF(AR38&lt;=Sheet2!$D$4,Sheet2!$B$4,IF(AR38&lt;=Sheet2!$D$5,Sheet2!$B$5,IF(AR38&lt;=Sheet2!$D$6,Sheet2!$B$6,IF(AR38&lt;=Sheet2!$D$7,Sheet2!$B$7,IF(AR38&lt;=Sheet2!$D$8,Sheet2!$B$8,IF(AR38&lt;=Sheet2!$D$9,Sheet2!$B$9,IF(AR38&lt;=Sheet2!$D$10,Sheet2!$B$10,IF(AR38&lt;=Sheet2!$D$11,Sheet2!$B$11,0))))))))))</f>
        <v>FXSQ50A</v>
      </c>
    </row>
    <row r="39" spans="1:54" ht="15" hidden="1" thickBot="1" x14ac:dyDescent="0.35">
      <c r="A39" t="s">
        <v>113</v>
      </c>
      <c r="B39" s="3">
        <v>35</v>
      </c>
      <c r="C39" s="64"/>
      <c r="D39" s="27" t="s">
        <v>93</v>
      </c>
      <c r="E39" s="27" t="s">
        <v>113</v>
      </c>
      <c r="F39" s="28" t="s">
        <v>134</v>
      </c>
      <c r="G39" s="29">
        <f>23.2*15.8+13.6</f>
        <v>380.16</v>
      </c>
      <c r="H39" s="47">
        <f t="shared" si="17"/>
        <v>380.16</v>
      </c>
      <c r="I39" s="30">
        <f>16*3*4</f>
        <v>192</v>
      </c>
      <c r="J39" s="42"/>
      <c r="K39" s="49">
        <f t="shared" si="36"/>
        <v>192</v>
      </c>
      <c r="L39" s="42">
        <v>0</v>
      </c>
      <c r="M39" s="2">
        <v>0</v>
      </c>
      <c r="N39" s="2">
        <f>VLOOKUP(A39,Data!A:B,2,FALSE)</f>
        <v>100</v>
      </c>
      <c r="O39" s="31">
        <f t="shared" ref="O39" si="41">L39</f>
        <v>0</v>
      </c>
      <c r="P39" s="32">
        <v>22</v>
      </c>
      <c r="Q39" s="29" t="s">
        <v>31</v>
      </c>
      <c r="R39" s="33">
        <f>VLOOKUP(A39,Data!A:D,4,FALSE)</f>
        <v>3.8</v>
      </c>
      <c r="S39" s="2">
        <f>VLOOKUP(A39,Data!A:C,3,FALSE)</f>
        <v>0.9</v>
      </c>
      <c r="T39" s="2"/>
      <c r="U39" s="2">
        <f t="shared" si="27"/>
        <v>1071.7439999999999</v>
      </c>
      <c r="V39" s="29">
        <f t="shared" si="21"/>
        <v>1075</v>
      </c>
      <c r="W39" s="91"/>
      <c r="X39" s="62"/>
      <c r="Y39" s="34"/>
      <c r="Z39" s="34">
        <f t="shared" si="38"/>
        <v>913.75</v>
      </c>
      <c r="AA39" s="31">
        <f t="shared" si="5"/>
        <v>914</v>
      </c>
      <c r="AB39" s="92">
        <f t="shared" si="37"/>
        <v>-914</v>
      </c>
      <c r="AC39" s="132"/>
      <c r="AD39" s="93" t="str">
        <f t="shared" si="6"/>
        <v>Positive</v>
      </c>
      <c r="AE39" s="107">
        <f t="shared" si="7"/>
        <v>0.51</v>
      </c>
      <c r="AF39" s="106" t="b">
        <f t="shared" si="8"/>
        <v>1</v>
      </c>
      <c r="AG39" s="32"/>
      <c r="AH39" s="2"/>
      <c r="AI39" s="35"/>
      <c r="AJ39" s="36"/>
      <c r="AK39" s="32">
        <f>VLOOKUP(A39,Data!A:F,6,FALSE)</f>
        <v>10</v>
      </c>
      <c r="AL39" s="35">
        <f t="shared" si="39"/>
        <v>3.8016000000000005</v>
      </c>
      <c r="AM39" s="36">
        <f t="shared" ref="AM39" si="42">AL39</f>
        <v>3.8016000000000005</v>
      </c>
      <c r="AN39" s="37"/>
      <c r="AO39" s="38"/>
      <c r="AP39" s="151">
        <v>1</v>
      </c>
      <c r="AQ39" s="151">
        <f t="shared" si="3"/>
        <v>0</v>
      </c>
      <c r="AR39" s="151">
        <f>IF(AQ39&lt;Sheet2!$D$2,Sheet2!$D$2,IF(AQ39&lt;Sheet2!$D$3,Sheet2!$D$3,IF(AQ39&lt;Sheet2!$D$4,Sheet2!$D$4,IF(AQ39&lt;Sheet2!$D$5,Sheet2!$D$5,IF(AQ39&lt;Sheet2!$D$6,Sheet2!$D$6,IF(AQ39&lt;Sheet2!$D$7,Sheet2!$D$7,IF(AQ39&lt;Sheet2!$D$8,Sheet2!$D$8,IF(AQ39&lt;Sheet2!$D$9,Sheet2!$D$9,IF(AQ39&lt;Sheet2!$D$10,Sheet2!$D$10,IF(AQ39&lt;Sheet2!$D$11,0))))))))))</f>
        <v>1.5</v>
      </c>
      <c r="AS39" s="2">
        <f>IF(AR39&lt;=Sheet2!$D$2,Sheet2!$C$2,IF(AR39&lt;=Sheet2!$D$3,Sheet2!$C$3,IF(AR39&lt;=Sheet2!$D$4,Sheet2!$C$4,IF(AR39&lt;=Sheet2!$D$5,Sheet2!$C$5,IF(AR39&lt;=Sheet2!$D$6,Sheet2!$C$6,IF(AR39&lt;=Sheet2!$D$7,Sheet2!$C$7,IF(AR39&lt;=Sheet2!$D$8,Sheet2!$C$8,IF(AR39&lt;=Sheet2!$D$9,Sheet2!$C$9,IF(AR39&lt;=Sheet2!$D$10,Sheet2!$C$10,IF(AR39&lt;=Sheet2!$D$11,Sheet2!$C$11,0))))))))))</f>
        <v>150</v>
      </c>
      <c r="AT39" s="2">
        <f t="shared" si="9"/>
        <v>-925</v>
      </c>
      <c r="AU39" s="38"/>
      <c r="AV39" s="38"/>
      <c r="AW39" s="38"/>
      <c r="AX39" s="38"/>
      <c r="AY39" s="38">
        <f t="shared" si="40"/>
        <v>0.39457070707070707</v>
      </c>
      <c r="AZ39" s="39">
        <f t="shared" si="10"/>
        <v>13.415404040404038</v>
      </c>
      <c r="BA39" s="31" t="s">
        <v>372</v>
      </c>
      <c r="BB39" s="31"/>
    </row>
    <row r="40" spans="1:54" ht="13.95" hidden="1" customHeight="1" thickBot="1" x14ac:dyDescent="0.35">
      <c r="A40" t="s">
        <v>114</v>
      </c>
      <c r="B40" s="3">
        <v>36</v>
      </c>
      <c r="C40" s="64" t="s">
        <v>344</v>
      </c>
      <c r="D40" s="13" t="s">
        <v>94</v>
      </c>
      <c r="E40" s="13" t="s">
        <v>114</v>
      </c>
      <c r="F40" s="26" t="s">
        <v>131</v>
      </c>
      <c r="G40" s="14">
        <f>10.4*5.9</f>
        <v>61.360000000000007</v>
      </c>
      <c r="H40" s="14">
        <f>G40</f>
        <v>61.360000000000007</v>
      </c>
      <c r="I40" s="15">
        <v>46</v>
      </c>
      <c r="J40" s="41"/>
      <c r="K40" s="19">
        <f t="shared" si="36"/>
        <v>46</v>
      </c>
      <c r="L40" s="41">
        <v>0</v>
      </c>
      <c r="M40" s="17">
        <v>3</v>
      </c>
      <c r="N40" s="17">
        <f>VLOOKUP(A40,Data!A:B,2,FALSE)</f>
        <v>120</v>
      </c>
      <c r="O40" s="19">
        <f t="shared" ref="O40" si="43">L40</f>
        <v>0</v>
      </c>
      <c r="P40" s="16">
        <v>22</v>
      </c>
      <c r="Q40" s="14" t="s">
        <v>31</v>
      </c>
      <c r="R40" s="12">
        <f>VLOOKUP(A40,Data!A:D,4,FALSE)</f>
        <v>2.5</v>
      </c>
      <c r="S40" s="17">
        <f>VLOOKUP(A40,Data!A:C,3,FALSE)</f>
        <v>0.3</v>
      </c>
      <c r="T40" s="17"/>
      <c r="U40" s="17">
        <f t="shared" si="27"/>
        <v>133.40800000000002</v>
      </c>
      <c r="V40" s="29">
        <f t="shared" si="21"/>
        <v>135</v>
      </c>
      <c r="W40" s="91"/>
      <c r="X40" s="62"/>
      <c r="Y40" s="34"/>
      <c r="Z40" s="34">
        <f t="shared" si="38"/>
        <v>114.75</v>
      </c>
      <c r="AA40" s="31"/>
      <c r="AB40" s="92">
        <v>-115</v>
      </c>
      <c r="AC40" s="132"/>
      <c r="AD40" s="93" t="str">
        <f t="shared" si="6"/>
        <v>Positive</v>
      </c>
      <c r="AE40" s="107">
        <f t="shared" si="7"/>
        <v>0.39</v>
      </c>
      <c r="AF40" s="106" t="b">
        <f t="shared" si="8"/>
        <v>1</v>
      </c>
      <c r="AG40" s="16"/>
      <c r="AH40" s="17"/>
      <c r="AI40" s="18"/>
      <c r="AJ40" s="20"/>
      <c r="AK40" s="16">
        <f>VLOOKUP(A40,Data!A:F,6,FALSE)</f>
        <v>10</v>
      </c>
      <c r="AL40" s="18">
        <f t="shared" si="39"/>
        <v>0.61360000000000003</v>
      </c>
      <c r="AM40" s="20">
        <f t="shared" ref="AM40" si="44">AL40</f>
        <v>0.61360000000000003</v>
      </c>
      <c r="AN40" s="21"/>
      <c r="AO40" s="22"/>
      <c r="AP40" s="152">
        <v>1</v>
      </c>
      <c r="AQ40" s="152">
        <f t="shared" si="3"/>
        <v>0</v>
      </c>
      <c r="AR40" s="162">
        <v>7.9</v>
      </c>
      <c r="AS40" s="17">
        <f>IF(AR40&lt;=Sheet2!$D$2,Sheet2!$C$2,IF(AR40&lt;=Sheet2!$D$3,Sheet2!$C$3,IF(AR40&lt;=Sheet2!$D$4,Sheet2!$C$4,IF(AR40&lt;=Sheet2!$D$5,Sheet2!$C$5,IF(AR40&lt;=Sheet2!$D$6,Sheet2!$C$6,IF(AR40&lt;=Sheet2!$D$7,Sheet2!$C$7,IF(AR40&lt;=Sheet2!$D$8,Sheet2!$C$8,IF(AR40&lt;=Sheet2!$D$9,Sheet2!$C$9,IF(AR40&lt;=Sheet2!$D$10,Sheet2!$C$10,IF(AR40&lt;=Sheet2!$D$11,Sheet2!$C$11,0))))))))))</f>
        <v>600</v>
      </c>
      <c r="AT40" s="2">
        <f t="shared" si="9"/>
        <v>465</v>
      </c>
      <c r="AU40" s="22"/>
      <c r="AV40" s="22"/>
      <c r="AW40" s="22"/>
      <c r="AX40" s="22"/>
      <c r="AY40" s="22">
        <f t="shared" si="40"/>
        <v>9.7783572359843536</v>
      </c>
      <c r="AZ40" s="39">
        <f t="shared" si="10"/>
        <v>437.74445893089955</v>
      </c>
      <c r="BA40" s="161" t="s">
        <v>375</v>
      </c>
      <c r="BB40" s="31" t="str">
        <f>IF(AR40&lt;=Sheet2!$D$2,Sheet2!$B$2,IF(AR40&lt;=Sheet2!$D$3,Sheet2!$B$3,IF(AR40&lt;=Sheet2!$D$4,Sheet2!$B$4,IF(AR40&lt;=Sheet2!$D$5,Sheet2!$B$5,IF(AR40&lt;=Sheet2!$D$6,Sheet2!$B$6,IF(AR40&lt;=Sheet2!$D$7,Sheet2!$B$7,IF(AR40&lt;=Sheet2!$D$8,Sheet2!$B$8,IF(AR40&lt;=Sheet2!$D$9,Sheet2!$B$9,IF(AR40&lt;=Sheet2!$D$10,Sheet2!$B$10,IF(AR40&lt;=Sheet2!$D$11,Sheet2!$B$11,0))))))))))</f>
        <v>FXSQ125A</v>
      </c>
    </row>
    <row r="41" spans="1:54" ht="15" hidden="1" thickBot="1" x14ac:dyDescent="0.35">
      <c r="A41" t="s">
        <v>110</v>
      </c>
      <c r="B41" s="3">
        <v>37</v>
      </c>
      <c r="C41" s="64" t="s">
        <v>344</v>
      </c>
      <c r="D41" s="27" t="s">
        <v>95</v>
      </c>
      <c r="E41" s="27" t="s">
        <v>166</v>
      </c>
      <c r="F41" s="28" t="s">
        <v>144</v>
      </c>
      <c r="G41" s="29">
        <f>5.25*7.1+2.4*4.8+2.1*10.4</f>
        <v>70.635000000000005</v>
      </c>
      <c r="H41" s="47">
        <f t="shared" si="17"/>
        <v>70.635000000000005</v>
      </c>
      <c r="I41" s="30">
        <v>10</v>
      </c>
      <c r="J41" s="42"/>
      <c r="K41" s="49">
        <f t="shared" si="36"/>
        <v>10</v>
      </c>
      <c r="L41" s="42">
        <v>0</v>
      </c>
      <c r="M41" s="2">
        <v>0</v>
      </c>
      <c r="N41" s="2">
        <f>VLOOKUP(A41,Data!A:B,2,FALSE)</f>
        <v>0</v>
      </c>
      <c r="O41" s="31">
        <f t="shared" si="18"/>
        <v>0</v>
      </c>
      <c r="P41" s="32">
        <v>22</v>
      </c>
      <c r="Q41" s="29" t="s">
        <v>31</v>
      </c>
      <c r="R41" s="33">
        <f>VLOOKUP(A41,Data!A:D,4,FALSE)</f>
        <v>0</v>
      </c>
      <c r="S41" s="2">
        <f>VLOOKUP(A41,Data!A:C,3,FALSE)</f>
        <v>0</v>
      </c>
      <c r="T41" s="2"/>
      <c r="U41" s="2">
        <f>AA41*0.85</f>
        <v>255</v>
      </c>
      <c r="V41" s="29"/>
      <c r="W41" s="91">
        <v>270</v>
      </c>
      <c r="X41" s="62">
        <v>25</v>
      </c>
      <c r="Y41" s="34">
        <v>12</v>
      </c>
      <c r="Z41" s="34">
        <f>Y41*X41</f>
        <v>300</v>
      </c>
      <c r="AA41" s="31">
        <f t="shared" si="5"/>
        <v>300</v>
      </c>
      <c r="AB41" s="92">
        <f>(CEILING(AA41,1))*-1</f>
        <v>-300</v>
      </c>
      <c r="AC41" s="132"/>
      <c r="AD41" s="93" t="str">
        <f t="shared" si="6"/>
        <v>Negative</v>
      </c>
      <c r="AE41" s="107">
        <f t="shared" si="7"/>
        <v>0.51</v>
      </c>
      <c r="AF41" s="106" t="b">
        <f t="shared" si="8"/>
        <v>1</v>
      </c>
      <c r="AG41" s="32"/>
      <c r="AH41" s="2"/>
      <c r="AI41" s="35"/>
      <c r="AJ41" s="36"/>
      <c r="AK41" s="32">
        <f>VLOOKUP(A41,Data!A:F,6,FALSE)</f>
        <v>10</v>
      </c>
      <c r="AL41" s="35">
        <f t="shared" si="39"/>
        <v>0.70635000000000003</v>
      </c>
      <c r="AM41" s="36">
        <f t="shared" si="19"/>
        <v>0.70635000000000003</v>
      </c>
      <c r="AN41" s="37"/>
      <c r="AO41" s="38"/>
      <c r="AP41" s="151">
        <v>1</v>
      </c>
      <c r="AQ41" s="151">
        <f t="shared" si="3"/>
        <v>0</v>
      </c>
      <c r="AR41" s="161">
        <v>5.9</v>
      </c>
      <c r="AS41" s="2">
        <f>IF(AR41&lt;=Sheet2!$D$2,Sheet2!$C$2,IF(AR41&lt;=Sheet2!$D$3,Sheet2!$C$3,IF(AR41&lt;=Sheet2!$D$4,Sheet2!$C$4,IF(AR41&lt;=Sheet2!$D$5,Sheet2!$C$5,IF(AR41&lt;=Sheet2!$D$6,Sheet2!$C$6,IF(AR41&lt;=Sheet2!$D$7,Sheet2!$C$7,IF(AR41&lt;=Sheet2!$D$8,Sheet2!$C$8,IF(AR41&lt;=Sheet2!$D$9,Sheet2!$C$9,IF(AR41&lt;=Sheet2!$D$10,Sheet2!$C$10,IF(AR41&lt;=Sheet2!$D$11,Sheet2!$C$11,0))))))))))</f>
        <v>533</v>
      </c>
      <c r="AT41" s="2">
        <f t="shared" si="9"/>
        <v>533</v>
      </c>
      <c r="AU41" s="38"/>
      <c r="AV41" s="38"/>
      <c r="AW41" s="38"/>
      <c r="AX41" s="38"/>
      <c r="AY41" s="38">
        <f t="shared" si="40"/>
        <v>7.5458342181637992</v>
      </c>
      <c r="AZ41" s="39">
        <f t="shared" si="10"/>
        <v>283.99518652226232</v>
      </c>
      <c r="BA41" s="161" t="s">
        <v>375</v>
      </c>
      <c r="BB41" s="31" t="str">
        <f>IF(AR41&lt;=Sheet2!$D$2,Sheet2!$B$2,IF(AR41&lt;=Sheet2!$D$3,Sheet2!$B$3,IF(AR41&lt;=Sheet2!$D$4,Sheet2!$B$4,IF(AR41&lt;=Sheet2!$D$5,Sheet2!$B$5,IF(AR41&lt;=Sheet2!$D$6,Sheet2!$B$6,IF(AR41&lt;=Sheet2!$D$7,Sheet2!$B$7,IF(AR41&lt;=Sheet2!$D$8,Sheet2!$B$8,IF(AR41&lt;=Sheet2!$D$9,Sheet2!$B$9,IF(AR41&lt;=Sheet2!$D$10,Sheet2!$B$10,IF(AR41&lt;=Sheet2!$D$11,Sheet2!$B$11,0))))))))))</f>
        <v>FXSQ100A</v>
      </c>
    </row>
    <row r="42" spans="1:54" ht="13.95" hidden="1" customHeight="1" thickBot="1" x14ac:dyDescent="0.35">
      <c r="A42" t="s">
        <v>115</v>
      </c>
      <c r="B42" s="3">
        <v>38</v>
      </c>
      <c r="C42" s="64" t="s">
        <v>344</v>
      </c>
      <c r="D42" s="13" t="s">
        <v>145</v>
      </c>
      <c r="E42" s="13" t="s">
        <v>133</v>
      </c>
      <c r="F42" s="26" t="s">
        <v>130</v>
      </c>
      <c r="G42" s="14">
        <f>3.2*4.8</f>
        <v>15.36</v>
      </c>
      <c r="H42" s="14">
        <f t="shared" si="17"/>
        <v>15.36</v>
      </c>
      <c r="I42" s="15">
        <v>6</v>
      </c>
      <c r="J42" s="41"/>
      <c r="K42" s="19">
        <f t="shared" si="36"/>
        <v>6</v>
      </c>
      <c r="L42" s="41">
        <v>0</v>
      </c>
      <c r="M42" s="17">
        <v>0</v>
      </c>
      <c r="N42" s="17">
        <f>VLOOKUP(A42,Data!A:B,2,FALSE)</f>
        <v>0</v>
      </c>
      <c r="O42" s="19">
        <f t="shared" si="18"/>
        <v>0</v>
      </c>
      <c r="P42" s="16">
        <v>22</v>
      </c>
      <c r="Q42" s="14" t="s">
        <v>31</v>
      </c>
      <c r="R42" s="12">
        <f>VLOOKUP(A42,Data!A:D,4,FALSE)</f>
        <v>0</v>
      </c>
      <c r="S42" s="17">
        <f>VLOOKUP(A42,Data!A:C,3,FALSE)</f>
        <v>0</v>
      </c>
      <c r="T42" s="17"/>
      <c r="U42" s="2">
        <f>AA42*0.85</f>
        <v>17</v>
      </c>
      <c r="V42" s="29"/>
      <c r="W42" s="91">
        <v>15</v>
      </c>
      <c r="X42" s="62">
        <f>VLOOKUP(A42,Data!A:E,5,FALSE)</f>
        <v>1.25</v>
      </c>
      <c r="Y42" s="34"/>
      <c r="Z42" s="34">
        <f>G42*X42</f>
        <v>19.2</v>
      </c>
      <c r="AA42" s="31">
        <f t="shared" si="5"/>
        <v>20</v>
      </c>
      <c r="AB42" s="92">
        <f>(CEILING(AA42,1))*-1</f>
        <v>-20</v>
      </c>
      <c r="AC42" s="132"/>
      <c r="AD42" s="93" t="str">
        <f t="shared" si="6"/>
        <v>Negative</v>
      </c>
      <c r="AE42" s="107">
        <f t="shared" si="7"/>
        <v>0.39</v>
      </c>
      <c r="AF42" s="106" t="b">
        <f t="shared" si="8"/>
        <v>1</v>
      </c>
      <c r="AG42" s="16"/>
      <c r="AH42" s="17"/>
      <c r="AI42" s="18"/>
      <c r="AJ42" s="20"/>
      <c r="AK42" s="16">
        <f>VLOOKUP(A42,Data!A:F,6,FALSE)</f>
        <v>10</v>
      </c>
      <c r="AL42" s="18">
        <f t="shared" si="39"/>
        <v>0.15359999999999999</v>
      </c>
      <c r="AM42" s="20">
        <f t="shared" si="19"/>
        <v>0.15359999999999999</v>
      </c>
      <c r="AN42" s="21"/>
      <c r="AO42" s="22"/>
      <c r="AP42" s="152">
        <v>1</v>
      </c>
      <c r="AQ42" s="152">
        <f t="shared" si="3"/>
        <v>0</v>
      </c>
      <c r="AR42" s="162">
        <v>1.7</v>
      </c>
      <c r="AS42" s="17">
        <f>IF(AR42&lt;=Sheet2!$D$2,Sheet2!$C$2,IF(AR42&lt;=Sheet2!$D$3,Sheet2!$C$3,IF(AR42&lt;=Sheet2!$D$4,Sheet2!$C$4,IF(AR42&lt;=Sheet2!$D$5,Sheet2!$C$5,IF(AR42&lt;=Sheet2!$D$6,Sheet2!$C$6,IF(AR42&lt;=Sheet2!$D$7,Sheet2!$C$7,IF(AR42&lt;=Sheet2!$D$8,Sheet2!$C$8,IF(AR42&lt;=Sheet2!$D$9,Sheet2!$C$9,IF(AR42&lt;=Sheet2!$D$10,Sheet2!$C$10,IF(AR42&lt;=Sheet2!$D$11,Sheet2!$C$11,0))))))))))</f>
        <v>150</v>
      </c>
      <c r="AT42" s="2">
        <f t="shared" si="9"/>
        <v>150</v>
      </c>
      <c r="AU42" s="22"/>
      <c r="AV42" s="22"/>
      <c r="AW42" s="22"/>
      <c r="AX42" s="22"/>
      <c r="AY42" s="22">
        <f t="shared" si="40"/>
        <v>9.765625</v>
      </c>
      <c r="AZ42" s="39">
        <f t="shared" si="10"/>
        <v>376.30208333333331</v>
      </c>
      <c r="BA42" s="161" t="s">
        <v>375</v>
      </c>
      <c r="BB42" s="31" t="str">
        <f>IF(AR42&lt;=Sheet2!$D$2,Sheet2!$B$2,IF(AR42&lt;=Sheet2!$D$3,Sheet2!$B$3,IF(AR42&lt;=Sheet2!$D$4,Sheet2!$B$4,IF(AR42&lt;=Sheet2!$D$5,Sheet2!$B$5,IF(AR42&lt;=Sheet2!$D$6,Sheet2!$B$6,IF(AR42&lt;=Sheet2!$D$7,Sheet2!$B$7,IF(AR42&lt;=Sheet2!$D$8,Sheet2!$B$8,IF(AR42&lt;=Sheet2!$D$9,Sheet2!$B$9,IF(AR42&lt;=Sheet2!$D$10,Sheet2!$B$10,IF(AR42&lt;=Sheet2!$D$11,Sheet2!$B$11,0))))))))))</f>
        <v>FXSQ25A</v>
      </c>
    </row>
    <row r="43" spans="1:54" ht="15" hidden="1" thickBot="1" x14ac:dyDescent="0.35">
      <c r="A43" t="s">
        <v>9</v>
      </c>
      <c r="B43" s="3">
        <v>39</v>
      </c>
      <c r="C43" s="64" t="s">
        <v>344</v>
      </c>
      <c r="D43" s="27" t="s">
        <v>146</v>
      </c>
      <c r="E43" s="27" t="s">
        <v>169</v>
      </c>
      <c r="F43" s="28" t="s">
        <v>167</v>
      </c>
      <c r="G43" s="29">
        <f>4.8*4.2</f>
        <v>20.16</v>
      </c>
      <c r="H43" s="47">
        <f t="shared" si="17"/>
        <v>20.16</v>
      </c>
      <c r="I43" s="30">
        <v>3</v>
      </c>
      <c r="J43" s="42"/>
      <c r="K43" s="49">
        <f t="shared" si="36"/>
        <v>3</v>
      </c>
      <c r="L43" s="42">
        <v>0</v>
      </c>
      <c r="M43" s="2">
        <v>0</v>
      </c>
      <c r="N43" s="2">
        <f>VLOOKUP(A43,Data!A:B,2,FALSE)</f>
        <v>5</v>
      </c>
      <c r="O43" s="31">
        <f t="shared" si="18"/>
        <v>0</v>
      </c>
      <c r="P43" s="32">
        <v>22</v>
      </c>
      <c r="Q43" s="29">
        <v>49</v>
      </c>
      <c r="R43" s="33">
        <f>VLOOKUP(A43,Data!A:D,4,FALSE)</f>
        <v>2.5</v>
      </c>
      <c r="S43" s="2">
        <f>VLOOKUP(A43,Data!A:C,3,FALSE)</f>
        <v>0.3</v>
      </c>
      <c r="T43" s="2"/>
      <c r="U43" s="2">
        <f t="shared" si="27"/>
        <v>13.548</v>
      </c>
      <c r="V43" s="29">
        <f t="shared" si="21"/>
        <v>15</v>
      </c>
      <c r="W43" s="91">
        <v>-10</v>
      </c>
      <c r="X43" s="62"/>
      <c r="Y43" s="34"/>
      <c r="Z43" s="34">
        <f t="shared" si="38"/>
        <v>12.75</v>
      </c>
      <c r="AA43" s="31"/>
      <c r="AB43" s="92">
        <v>0</v>
      </c>
      <c r="AC43" s="132"/>
      <c r="AD43" s="93" t="str">
        <f t="shared" si="6"/>
        <v>Positive</v>
      </c>
      <c r="AE43" s="107">
        <f t="shared" si="7"/>
        <v>0.3</v>
      </c>
      <c r="AF43" s="106" t="b">
        <f t="shared" si="8"/>
        <v>1</v>
      </c>
      <c r="AG43" s="32"/>
      <c r="AH43" s="2"/>
      <c r="AI43" s="35"/>
      <c r="AJ43" s="36"/>
      <c r="AK43" s="32">
        <f>VLOOKUP(A43,Data!A:F,6,FALSE)</f>
        <v>10</v>
      </c>
      <c r="AL43" s="35">
        <f t="shared" si="39"/>
        <v>0.2016</v>
      </c>
      <c r="AM43" s="36">
        <f t="shared" si="19"/>
        <v>0.2016</v>
      </c>
      <c r="AN43" s="37"/>
      <c r="AO43" s="38"/>
      <c r="AP43" s="151">
        <v>1</v>
      </c>
      <c r="AQ43" s="151">
        <f t="shared" si="3"/>
        <v>0</v>
      </c>
      <c r="AR43" s="161">
        <v>2.5</v>
      </c>
      <c r="AS43" s="2">
        <f>IF(AR43&lt;=Sheet2!$D$2,Sheet2!$C$2,IF(AR43&lt;=Sheet2!$D$3,Sheet2!$C$3,IF(AR43&lt;=Sheet2!$D$4,Sheet2!$C$4,IF(AR43&lt;=Sheet2!$D$5,Sheet2!$C$5,IF(AR43&lt;=Sheet2!$D$6,Sheet2!$C$6,IF(AR43&lt;=Sheet2!$D$7,Sheet2!$C$7,IF(AR43&lt;=Sheet2!$D$8,Sheet2!$C$8,IF(AR43&lt;=Sheet2!$D$9,Sheet2!$C$9,IF(AR43&lt;=Sheet2!$D$10,Sheet2!$C$10,IF(AR43&lt;=Sheet2!$D$11,Sheet2!$C$11,0))))))))))</f>
        <v>250</v>
      </c>
      <c r="AT43" s="2">
        <f t="shared" si="9"/>
        <v>235</v>
      </c>
      <c r="AU43" s="38"/>
      <c r="AV43" s="38"/>
      <c r="AW43" s="38"/>
      <c r="AX43" s="38"/>
      <c r="AY43" s="38">
        <f t="shared" si="40"/>
        <v>12.40079365079365</v>
      </c>
      <c r="AZ43" s="39">
        <f t="shared" si="10"/>
        <v>421.6269841269841</v>
      </c>
      <c r="BA43" s="161" t="s">
        <v>375</v>
      </c>
      <c r="BB43" s="31" t="str">
        <f>IF(AR43&lt;=Sheet2!$D$2,Sheet2!$B$2,IF(AR43&lt;=Sheet2!$D$3,Sheet2!$B$3,IF(AR43&lt;=Sheet2!$D$4,Sheet2!$B$4,IF(AR43&lt;=Sheet2!$D$5,Sheet2!$B$5,IF(AR43&lt;=Sheet2!$D$6,Sheet2!$B$6,IF(AR43&lt;=Sheet2!$D$7,Sheet2!$B$7,IF(AR43&lt;=Sheet2!$D$8,Sheet2!$B$8,IF(AR43&lt;=Sheet2!$D$9,Sheet2!$B$9,IF(AR43&lt;=Sheet2!$D$10,Sheet2!$B$10,IF(AR43&lt;=Sheet2!$D$11,Sheet2!$B$11,0))))))))))</f>
        <v>FXSQ40A</v>
      </c>
    </row>
    <row r="44" spans="1:54" ht="13.95" hidden="1" customHeight="1" thickBot="1" x14ac:dyDescent="0.35">
      <c r="A44" t="s">
        <v>9</v>
      </c>
      <c r="B44" s="3">
        <v>40</v>
      </c>
      <c r="C44" s="64" t="s">
        <v>344</v>
      </c>
      <c r="D44" s="13" t="s">
        <v>147</v>
      </c>
      <c r="E44" s="13" t="s">
        <v>169</v>
      </c>
      <c r="F44" s="26" t="s">
        <v>167</v>
      </c>
      <c r="G44" s="14">
        <f>4*4.8</f>
        <v>19.2</v>
      </c>
      <c r="H44" s="14">
        <f>G44</f>
        <v>19.2</v>
      </c>
      <c r="I44" s="15">
        <v>3</v>
      </c>
      <c r="J44" s="41"/>
      <c r="K44" s="19">
        <f t="shared" si="36"/>
        <v>3</v>
      </c>
      <c r="L44" s="41">
        <v>0</v>
      </c>
      <c r="M44" s="17">
        <v>0</v>
      </c>
      <c r="N44" s="17">
        <f>VLOOKUP(A44,Data!A:B,2,FALSE)</f>
        <v>5</v>
      </c>
      <c r="O44" s="19">
        <f t="shared" ref="O44:O45" si="45">L44</f>
        <v>0</v>
      </c>
      <c r="P44" s="16">
        <v>22</v>
      </c>
      <c r="Q44" s="14" t="s">
        <v>31</v>
      </c>
      <c r="R44" s="12">
        <f>VLOOKUP(A44,Data!A:D,4,FALSE)</f>
        <v>2.5</v>
      </c>
      <c r="S44" s="17">
        <f>VLOOKUP(A44,Data!A:C,3,FALSE)</f>
        <v>0.3</v>
      </c>
      <c r="T44" s="17"/>
      <c r="U44" s="17">
        <f t="shared" si="27"/>
        <v>13.26</v>
      </c>
      <c r="V44" s="29">
        <f t="shared" si="21"/>
        <v>15</v>
      </c>
      <c r="W44" s="91">
        <v>-10</v>
      </c>
      <c r="X44" s="62"/>
      <c r="Y44" s="34"/>
      <c r="Z44" s="34">
        <f t="shared" si="38"/>
        <v>12.75</v>
      </c>
      <c r="AA44" s="31"/>
      <c r="AB44" s="92">
        <v>0</v>
      </c>
      <c r="AC44" s="132"/>
      <c r="AD44" s="93" t="str">
        <f t="shared" si="6"/>
        <v>Positive</v>
      </c>
      <c r="AE44" s="107">
        <f t="shared" si="7"/>
        <v>0.31</v>
      </c>
      <c r="AF44" s="106" t="b">
        <f t="shared" si="8"/>
        <v>1</v>
      </c>
      <c r="AG44" s="16"/>
      <c r="AH44" s="17"/>
      <c r="AI44" s="18"/>
      <c r="AJ44" s="20"/>
      <c r="AK44" s="16">
        <f>VLOOKUP(A44,Data!A:F,6,FALSE)</f>
        <v>10</v>
      </c>
      <c r="AL44" s="18">
        <f t="shared" si="39"/>
        <v>0.192</v>
      </c>
      <c r="AM44" s="20">
        <f t="shared" ref="AM44:AM45" si="46">AL44</f>
        <v>0.192</v>
      </c>
      <c r="AN44" s="21"/>
      <c r="AO44" s="22"/>
      <c r="AP44" s="152">
        <v>1</v>
      </c>
      <c r="AQ44" s="152">
        <f t="shared" si="3"/>
        <v>0</v>
      </c>
      <c r="AR44" s="162">
        <v>2.4</v>
      </c>
      <c r="AS44" s="17">
        <f>IF(AR44&lt;=Sheet2!$D$2,Sheet2!$C$2,IF(AR44&lt;=Sheet2!$D$3,Sheet2!$C$3,IF(AR44&lt;=Sheet2!$D$4,Sheet2!$C$4,IF(AR44&lt;=Sheet2!$D$5,Sheet2!$C$5,IF(AR44&lt;=Sheet2!$D$6,Sheet2!$C$6,IF(AR44&lt;=Sheet2!$D$7,Sheet2!$C$7,IF(AR44&lt;=Sheet2!$D$8,Sheet2!$C$8,IF(AR44&lt;=Sheet2!$D$9,Sheet2!$C$9,IF(AR44&lt;=Sheet2!$D$10,Sheet2!$C$10,IF(AR44&lt;=Sheet2!$D$11,Sheet2!$C$11,0))))))))))</f>
        <v>158</v>
      </c>
      <c r="AT44" s="2">
        <f t="shared" si="9"/>
        <v>143</v>
      </c>
      <c r="AU44" s="22"/>
      <c r="AV44" s="22"/>
      <c r="AW44" s="22"/>
      <c r="AX44" s="22"/>
      <c r="AY44" s="22">
        <f t="shared" si="40"/>
        <v>8.2291666666666679</v>
      </c>
      <c r="AZ44" s="39">
        <f t="shared" si="10"/>
        <v>425</v>
      </c>
      <c r="BA44" s="161" t="s">
        <v>375</v>
      </c>
      <c r="BB44" s="31" t="str">
        <f>IF(AR44&lt;=Sheet2!$D$2,Sheet2!$B$2,IF(AR44&lt;=Sheet2!$D$3,Sheet2!$B$3,IF(AR44&lt;=Sheet2!$D$4,Sheet2!$B$4,IF(AR44&lt;=Sheet2!$D$5,Sheet2!$B$5,IF(AR44&lt;=Sheet2!$D$6,Sheet2!$B$6,IF(AR44&lt;=Sheet2!$D$7,Sheet2!$B$7,IF(AR44&lt;=Sheet2!$D$8,Sheet2!$B$8,IF(AR44&lt;=Sheet2!$D$9,Sheet2!$B$9,IF(AR44&lt;=Sheet2!$D$10,Sheet2!$B$10,IF(AR44&lt;=Sheet2!$D$11,Sheet2!$B$11,0))))))))))</f>
        <v>FXSQ32A</v>
      </c>
    </row>
    <row r="45" spans="1:54" ht="15" hidden="1" thickBot="1" x14ac:dyDescent="0.35">
      <c r="A45" t="s">
        <v>113</v>
      </c>
      <c r="B45" s="3">
        <v>41</v>
      </c>
      <c r="C45" s="64" t="s">
        <v>344</v>
      </c>
      <c r="D45" s="27" t="s">
        <v>148</v>
      </c>
      <c r="E45" s="27" t="s">
        <v>113</v>
      </c>
      <c r="F45" s="28" t="s">
        <v>134</v>
      </c>
      <c r="G45" s="29">
        <f>3*4.8</f>
        <v>14.399999999999999</v>
      </c>
      <c r="H45" s="47">
        <f>G45</f>
        <v>14.399999999999999</v>
      </c>
      <c r="I45" s="30">
        <v>3</v>
      </c>
      <c r="J45" s="42"/>
      <c r="K45" s="49">
        <f t="shared" si="36"/>
        <v>3</v>
      </c>
      <c r="L45" s="42">
        <v>0</v>
      </c>
      <c r="M45" s="2">
        <v>0</v>
      </c>
      <c r="N45" s="2">
        <f>VLOOKUP(A45,Data!A:B,2,FALSE)</f>
        <v>100</v>
      </c>
      <c r="O45" s="31">
        <f t="shared" si="45"/>
        <v>0</v>
      </c>
      <c r="P45" s="32">
        <v>22</v>
      </c>
      <c r="Q45" s="29">
        <v>59</v>
      </c>
      <c r="R45" s="33">
        <f>VLOOKUP(A45,Data!A:D,4,FALSE)</f>
        <v>3.8</v>
      </c>
      <c r="S45" s="2">
        <f>VLOOKUP(A45,Data!A:C,3,FALSE)</f>
        <v>0.9</v>
      </c>
      <c r="T45" s="2"/>
      <c r="U45" s="2">
        <f t="shared" si="27"/>
        <v>24.36</v>
      </c>
      <c r="V45" s="29">
        <f t="shared" si="21"/>
        <v>25</v>
      </c>
      <c r="W45" s="91"/>
      <c r="X45" s="62"/>
      <c r="Y45" s="34"/>
      <c r="Z45" s="34">
        <f>V45/0.85</f>
        <v>29.411764705882355</v>
      </c>
      <c r="AA45" s="31">
        <f t="shared" si="5"/>
        <v>30</v>
      </c>
      <c r="AB45" s="92">
        <f>(CEILING(AA45,1))*-1</f>
        <v>-30</v>
      </c>
      <c r="AC45" s="132"/>
      <c r="AD45" s="93" t="str">
        <f t="shared" si="6"/>
        <v>Negative</v>
      </c>
      <c r="AE45" s="107">
        <f t="shared" si="7"/>
        <v>0.42</v>
      </c>
      <c r="AF45" s="106" t="b">
        <f t="shared" si="8"/>
        <v>1</v>
      </c>
      <c r="AG45" s="32"/>
      <c r="AH45" s="2"/>
      <c r="AI45" s="35"/>
      <c r="AJ45" s="36"/>
      <c r="AK45" s="32">
        <f>VLOOKUP(A45,Data!A:F,6,FALSE)</f>
        <v>10</v>
      </c>
      <c r="AL45" s="35">
        <f t="shared" si="39"/>
        <v>0.14399999999999999</v>
      </c>
      <c r="AM45" s="36">
        <f t="shared" si="46"/>
        <v>0.14399999999999999</v>
      </c>
      <c r="AN45" s="37"/>
      <c r="AO45" s="38"/>
      <c r="AP45" s="151">
        <v>1</v>
      </c>
      <c r="AQ45" s="151">
        <f t="shared" si="3"/>
        <v>0</v>
      </c>
      <c r="AR45" s="161">
        <v>2.1</v>
      </c>
      <c r="AS45" s="2">
        <f>IF(AR45&lt;=Sheet2!$D$2,Sheet2!$C$2,IF(AR45&lt;=Sheet2!$D$3,Sheet2!$C$3,IF(AR45&lt;=Sheet2!$D$4,Sheet2!$C$4,IF(AR45&lt;=Sheet2!$D$5,Sheet2!$C$5,IF(AR45&lt;=Sheet2!$D$6,Sheet2!$C$6,IF(AR45&lt;=Sheet2!$D$7,Sheet2!$C$7,IF(AR45&lt;=Sheet2!$D$8,Sheet2!$C$8,IF(AR45&lt;=Sheet2!$D$9,Sheet2!$C$9,IF(AR45&lt;=Sheet2!$D$10,Sheet2!$C$10,IF(AR45&lt;=Sheet2!$D$11,Sheet2!$C$11,0))))))))))</f>
        <v>158</v>
      </c>
      <c r="AT45" s="2">
        <f t="shared" si="9"/>
        <v>133</v>
      </c>
      <c r="AU45" s="38"/>
      <c r="AV45" s="38"/>
      <c r="AW45" s="38"/>
      <c r="AX45" s="38"/>
      <c r="AY45" s="38">
        <f t="shared" si="40"/>
        <v>10.972222222222223</v>
      </c>
      <c r="AZ45" s="39">
        <f t="shared" si="10"/>
        <v>495.83333333333337</v>
      </c>
      <c r="BA45" s="161" t="s">
        <v>375</v>
      </c>
      <c r="BB45" s="31" t="str">
        <f>IF(AR45&lt;=Sheet2!$D$2,Sheet2!$B$2,IF(AR45&lt;=Sheet2!$D$3,Sheet2!$B$3,IF(AR45&lt;=Sheet2!$D$4,Sheet2!$B$4,IF(AR45&lt;=Sheet2!$D$5,Sheet2!$B$5,IF(AR45&lt;=Sheet2!$D$6,Sheet2!$B$6,IF(AR45&lt;=Sheet2!$D$7,Sheet2!$B$7,IF(AR45&lt;=Sheet2!$D$8,Sheet2!$B$8,IF(AR45&lt;=Sheet2!$D$9,Sheet2!$B$9,IF(AR45&lt;=Sheet2!$D$10,Sheet2!$B$10,IF(AR45&lt;=Sheet2!$D$11,Sheet2!$B$11,0))))))))))</f>
        <v>FXSQ32A</v>
      </c>
    </row>
    <row r="46" spans="1:54" ht="13.95" hidden="1" customHeight="1" thickBot="1" x14ac:dyDescent="0.35">
      <c r="A46" t="s">
        <v>9</v>
      </c>
      <c r="B46" s="3">
        <v>42</v>
      </c>
      <c r="C46" s="64" t="s">
        <v>344</v>
      </c>
      <c r="D46" s="13" t="s">
        <v>149</v>
      </c>
      <c r="E46" s="13" t="s">
        <v>170</v>
      </c>
      <c r="F46" s="26" t="s">
        <v>168</v>
      </c>
      <c r="G46" s="14">
        <f>4.8*4.5</f>
        <v>21.599999999999998</v>
      </c>
      <c r="H46" s="14">
        <f>G46</f>
        <v>21.599999999999998</v>
      </c>
      <c r="I46" s="15">
        <v>3</v>
      </c>
      <c r="J46" s="41"/>
      <c r="K46" s="19">
        <f t="shared" si="36"/>
        <v>3</v>
      </c>
      <c r="L46" s="41"/>
      <c r="M46" s="17"/>
      <c r="N46" s="17">
        <f>VLOOKUP(A46,Data!A:B,2,FALSE)</f>
        <v>5</v>
      </c>
      <c r="O46" s="19">
        <f>L46</f>
        <v>0</v>
      </c>
      <c r="P46" s="16">
        <v>26</v>
      </c>
      <c r="Q46" s="14" t="s">
        <v>31</v>
      </c>
      <c r="R46" s="12">
        <f>VLOOKUP(A46,Data!A:D,4,FALSE)</f>
        <v>2.5</v>
      </c>
      <c r="S46" s="17">
        <f>VLOOKUP(A46,Data!A:C,3,FALSE)</f>
        <v>0.3</v>
      </c>
      <c r="T46" s="17"/>
      <c r="U46" s="17">
        <f t="shared" si="27"/>
        <v>13.98</v>
      </c>
      <c r="V46" s="29">
        <f t="shared" si="21"/>
        <v>15</v>
      </c>
      <c r="W46" s="91">
        <v>-5</v>
      </c>
      <c r="X46" s="62"/>
      <c r="Y46" s="34"/>
      <c r="Z46" s="34">
        <f t="shared" si="38"/>
        <v>12.75</v>
      </c>
      <c r="AA46" s="31"/>
      <c r="AB46" s="92">
        <v>0</v>
      </c>
      <c r="AC46" s="132"/>
      <c r="AD46" s="93" t="str">
        <f t="shared" si="6"/>
        <v>Positive</v>
      </c>
      <c r="AE46" s="107">
        <f t="shared" si="7"/>
        <v>0.56000000000000005</v>
      </c>
      <c r="AF46" s="106" t="b">
        <f t="shared" si="8"/>
        <v>1</v>
      </c>
      <c r="AG46" s="16"/>
      <c r="AH46" s="17"/>
      <c r="AI46" s="18"/>
      <c r="AJ46" s="20"/>
      <c r="AK46" s="16">
        <f>VLOOKUP(A46,Data!A:F,6,FALSE)</f>
        <v>10</v>
      </c>
      <c r="AL46" s="18">
        <f t="shared" si="39"/>
        <v>0.21599999999999997</v>
      </c>
      <c r="AM46" s="20">
        <f>AL46</f>
        <v>0.21599999999999997</v>
      </c>
      <c r="AN46" s="21"/>
      <c r="AO46" s="22"/>
      <c r="AP46" s="152">
        <v>1</v>
      </c>
      <c r="AQ46" s="152">
        <f t="shared" si="3"/>
        <v>0</v>
      </c>
      <c r="AR46" s="162">
        <v>2.7</v>
      </c>
      <c r="AS46" s="17">
        <f>IF(AR46&lt;=Sheet2!$D$2,Sheet2!$C$2,IF(AR46&lt;=Sheet2!$D$3,Sheet2!$C$3,IF(AR46&lt;=Sheet2!$D$4,Sheet2!$C$4,IF(AR46&lt;=Sheet2!$D$5,Sheet2!$C$5,IF(AR46&lt;=Sheet2!$D$6,Sheet2!$C$6,IF(AR46&lt;=Sheet2!$D$7,Sheet2!$C$7,IF(AR46&lt;=Sheet2!$D$8,Sheet2!$C$8,IF(AR46&lt;=Sheet2!$D$9,Sheet2!$C$9,IF(AR46&lt;=Sheet2!$D$10,Sheet2!$C$10,IF(AR46&lt;=Sheet2!$D$11,Sheet2!$C$11,0))))))))))</f>
        <v>250</v>
      </c>
      <c r="AT46" s="2">
        <f t="shared" si="9"/>
        <v>235</v>
      </c>
      <c r="AU46" s="22"/>
      <c r="AV46" s="22"/>
      <c r="AW46" s="22"/>
      <c r="AX46" s="22"/>
      <c r="AY46" s="22">
        <f t="shared" si="40"/>
        <v>11.574074074074074</v>
      </c>
      <c r="AZ46" s="39">
        <f t="shared" si="10"/>
        <v>425.00000000000011</v>
      </c>
      <c r="BA46" s="161" t="s">
        <v>375</v>
      </c>
      <c r="BB46" s="31" t="str">
        <f>IF(AR46&lt;=Sheet2!$D$2,Sheet2!$B$2,IF(AR46&lt;=Sheet2!$D$3,Sheet2!$B$3,IF(AR46&lt;=Sheet2!$D$4,Sheet2!$B$4,IF(AR46&lt;=Sheet2!$D$5,Sheet2!$B$5,IF(AR46&lt;=Sheet2!$D$6,Sheet2!$B$6,IF(AR46&lt;=Sheet2!$D$7,Sheet2!$B$7,IF(AR46&lt;=Sheet2!$D$8,Sheet2!$B$8,IF(AR46&lt;=Sheet2!$D$9,Sheet2!$B$9,IF(AR46&lt;=Sheet2!$D$10,Sheet2!$B$10,IF(AR46&lt;=Sheet2!$D$11,Sheet2!$B$11,0))))))))))</f>
        <v>FXSQ40A</v>
      </c>
    </row>
    <row r="47" spans="1:54" ht="15" hidden="1" thickBot="1" x14ac:dyDescent="0.35">
      <c r="A47" t="s">
        <v>9</v>
      </c>
      <c r="B47" s="3">
        <v>43</v>
      </c>
      <c r="C47" s="64" t="s">
        <v>345</v>
      </c>
      <c r="D47" s="27" t="s">
        <v>150</v>
      </c>
      <c r="E47" s="27" t="s">
        <v>99</v>
      </c>
      <c r="F47" s="28" t="s">
        <v>98</v>
      </c>
      <c r="G47" s="29">
        <f>4*3</f>
        <v>12</v>
      </c>
      <c r="H47" s="47">
        <f>G47</f>
        <v>12</v>
      </c>
      <c r="I47" s="30">
        <v>2</v>
      </c>
      <c r="J47" s="42"/>
      <c r="K47" s="49">
        <f t="shared" si="36"/>
        <v>2</v>
      </c>
      <c r="L47" s="42">
        <v>0</v>
      </c>
      <c r="M47" s="2">
        <v>0</v>
      </c>
      <c r="N47" s="2">
        <f>VLOOKUP(A47,Data!A:B,2,FALSE)</f>
        <v>5</v>
      </c>
      <c r="O47" s="31">
        <f t="shared" ref="O47:O52" si="47">L47</f>
        <v>0</v>
      </c>
      <c r="P47" s="32">
        <v>22</v>
      </c>
      <c r="Q47" s="29" t="s">
        <v>31</v>
      </c>
      <c r="R47" s="33">
        <f>VLOOKUP(A47,Data!A:D,4,FALSE)</f>
        <v>2.5</v>
      </c>
      <c r="S47" s="2">
        <f>VLOOKUP(A47,Data!A:C,3,FALSE)</f>
        <v>0.3</v>
      </c>
      <c r="T47" s="2"/>
      <c r="U47" s="2">
        <f t="shared" si="27"/>
        <v>8.6</v>
      </c>
      <c r="V47" s="29">
        <v>30</v>
      </c>
      <c r="W47" s="91"/>
      <c r="X47" s="62"/>
      <c r="Y47" s="34"/>
      <c r="Z47" s="34">
        <f>0.85*V47</f>
        <v>25.5</v>
      </c>
      <c r="AA47" s="31">
        <v>15</v>
      </c>
      <c r="AB47" s="92"/>
      <c r="AC47" s="1">
        <v>-25</v>
      </c>
      <c r="AD47" s="93" t="str">
        <f t="shared" si="6"/>
        <v>Positive</v>
      </c>
      <c r="AE47" s="107">
        <f>ROUND(ABS((V47+AB47+W47+AC47)*3.6)/(G47*3),2)</f>
        <v>0.5</v>
      </c>
      <c r="AF47" s="106" t="b">
        <f t="shared" si="8"/>
        <v>1</v>
      </c>
      <c r="AG47" s="32"/>
      <c r="AH47" s="2"/>
      <c r="AI47" s="35"/>
      <c r="AJ47" s="36"/>
      <c r="AK47" s="32">
        <f>VLOOKUP(A47,Data!A:F,6,FALSE)</f>
        <v>10</v>
      </c>
      <c r="AL47" s="35">
        <f t="shared" si="39"/>
        <v>0.12</v>
      </c>
      <c r="AM47" s="36">
        <f t="shared" ref="AM47:AM52" si="48">AL47</f>
        <v>0.12</v>
      </c>
      <c r="AN47" s="37"/>
      <c r="AO47" s="38"/>
      <c r="AP47" s="151">
        <v>1</v>
      </c>
      <c r="AQ47" s="151">
        <f t="shared" si="3"/>
        <v>0</v>
      </c>
      <c r="AR47" s="161">
        <v>1.7</v>
      </c>
      <c r="AS47" s="2">
        <f>IF(AR47&lt;=Sheet2!$D$2,Sheet2!$C$2,IF(AR47&lt;=Sheet2!$D$3,Sheet2!$C$3,IF(AR47&lt;=Sheet2!$D$4,Sheet2!$C$4,IF(AR47&lt;=Sheet2!$D$5,Sheet2!$C$5,IF(AR47&lt;=Sheet2!$D$6,Sheet2!$C$6,IF(AR47&lt;=Sheet2!$D$7,Sheet2!$C$7,IF(AR47&lt;=Sheet2!$D$8,Sheet2!$C$8,IF(AR47&lt;=Sheet2!$D$9,Sheet2!$C$9,IF(AR47&lt;=Sheet2!$D$10,Sheet2!$C$10,IF(AR47&lt;=Sheet2!$D$11,Sheet2!$C$11,0))))))))))</f>
        <v>150</v>
      </c>
      <c r="AT47" s="2">
        <f t="shared" si="9"/>
        <v>120</v>
      </c>
      <c r="AU47" s="38"/>
      <c r="AV47" s="38"/>
      <c r="AW47" s="38"/>
      <c r="AX47" s="38"/>
      <c r="AY47" s="38">
        <f t="shared" si="40"/>
        <v>12.5</v>
      </c>
      <c r="AZ47" s="39">
        <f t="shared" si="10"/>
        <v>481.66666666666663</v>
      </c>
      <c r="BA47" s="161" t="s">
        <v>375</v>
      </c>
      <c r="BB47" s="31" t="str">
        <f>IF(AR47&lt;=Sheet2!$D$2,Sheet2!$B$2,IF(AR47&lt;=Sheet2!$D$3,Sheet2!$B$3,IF(AR47&lt;=Sheet2!$D$4,Sheet2!$B$4,IF(AR47&lt;=Sheet2!$D$5,Sheet2!$B$5,IF(AR47&lt;=Sheet2!$D$6,Sheet2!$B$6,IF(AR47&lt;=Sheet2!$D$7,Sheet2!$B$7,IF(AR47&lt;=Sheet2!$D$8,Sheet2!$B$8,IF(AR47&lt;=Sheet2!$D$9,Sheet2!$B$9,IF(AR47&lt;=Sheet2!$D$10,Sheet2!$B$10,IF(AR47&lt;=Sheet2!$D$11,Sheet2!$B$11,0))))))))))</f>
        <v>FXSQ25A</v>
      </c>
    </row>
    <row r="48" spans="1:54" ht="13.95" hidden="1" customHeight="1" thickBot="1" x14ac:dyDescent="0.35">
      <c r="A48" t="s">
        <v>112</v>
      </c>
      <c r="B48" s="3">
        <v>44</v>
      </c>
      <c r="C48" s="64" t="s">
        <v>342</v>
      </c>
      <c r="D48" s="13" t="s">
        <v>151</v>
      </c>
      <c r="E48" s="13" t="s">
        <v>97</v>
      </c>
      <c r="F48" s="26" t="s">
        <v>96</v>
      </c>
      <c r="G48" s="14">
        <f>5.2*4+88</f>
        <v>108.8</v>
      </c>
      <c r="H48" s="14">
        <f>G48</f>
        <v>108.8</v>
      </c>
      <c r="I48" s="15">
        <v>9</v>
      </c>
      <c r="J48" s="41"/>
      <c r="K48" s="19">
        <f t="shared" si="36"/>
        <v>9</v>
      </c>
      <c r="L48" s="41">
        <v>0</v>
      </c>
      <c r="M48" s="17">
        <v>0</v>
      </c>
      <c r="N48" s="17">
        <f>VLOOKUP(A48,Data!A:B,2,FALSE)</f>
        <v>50</v>
      </c>
      <c r="O48" s="19">
        <f t="shared" si="47"/>
        <v>0</v>
      </c>
      <c r="P48" s="16">
        <v>22</v>
      </c>
      <c r="Q48" s="14" t="s">
        <v>31</v>
      </c>
      <c r="R48" s="12">
        <f>VLOOKUP(A48,Data!A:D,4,FALSE)</f>
        <v>3.8</v>
      </c>
      <c r="S48" s="17">
        <f>VLOOKUP(A48,Data!A:C,3,FALSE)</f>
        <v>0.3</v>
      </c>
      <c r="T48" s="17"/>
      <c r="U48" s="17">
        <f t="shared" si="27"/>
        <v>66.84</v>
      </c>
      <c r="V48" s="29">
        <v>150</v>
      </c>
      <c r="W48" s="91">
        <v>-84</v>
      </c>
      <c r="X48" s="62"/>
      <c r="Y48" s="34"/>
      <c r="Z48" s="34">
        <f t="shared" si="38"/>
        <v>127.5</v>
      </c>
      <c r="AA48" s="31"/>
      <c r="AB48" s="92">
        <v>0</v>
      </c>
      <c r="AC48" s="132"/>
      <c r="AD48" s="93" t="str">
        <f t="shared" si="6"/>
        <v>Positive</v>
      </c>
      <c r="AE48" s="107">
        <f t="shared" si="7"/>
        <v>0.73</v>
      </c>
      <c r="AF48" s="106" t="b">
        <f t="shared" si="8"/>
        <v>1</v>
      </c>
      <c r="AG48" s="16"/>
      <c r="AH48" s="17"/>
      <c r="AI48" s="18"/>
      <c r="AJ48" s="20"/>
      <c r="AK48" s="16">
        <f>VLOOKUP(A48,Data!A:F,6,FALSE)</f>
        <v>10</v>
      </c>
      <c r="AL48" s="18">
        <f t="shared" si="39"/>
        <v>1.0880000000000001</v>
      </c>
      <c r="AM48" s="20">
        <f t="shared" si="48"/>
        <v>1.0880000000000001</v>
      </c>
      <c r="AN48" s="21"/>
      <c r="AO48" s="22"/>
      <c r="AP48" s="152">
        <v>1</v>
      </c>
      <c r="AQ48" s="152">
        <f t="shared" si="3"/>
        <v>0</v>
      </c>
      <c r="AR48" s="162">
        <v>6.5</v>
      </c>
      <c r="AS48" s="17">
        <f>IF(AR48&lt;=Sheet2!$D$2,Sheet2!$C$2,IF(AR48&lt;=Sheet2!$D$3,Sheet2!$C$3,IF(AR48&lt;=Sheet2!$D$4,Sheet2!$C$4,IF(AR48&lt;=Sheet2!$D$5,Sheet2!$C$5,IF(AR48&lt;=Sheet2!$D$6,Sheet2!$C$6,IF(AR48&lt;=Sheet2!$D$7,Sheet2!$C$7,IF(AR48&lt;=Sheet2!$D$8,Sheet2!$C$8,IF(AR48&lt;=Sheet2!$D$9,Sheet2!$C$9,IF(AR48&lt;=Sheet2!$D$10,Sheet2!$C$10,IF(AR48&lt;=Sheet2!$D$11,Sheet2!$C$11,0))))))))))</f>
        <v>533</v>
      </c>
      <c r="AT48" s="2">
        <f t="shared" si="9"/>
        <v>383</v>
      </c>
      <c r="AU48" s="22"/>
      <c r="AV48" s="22"/>
      <c r="AW48" s="22"/>
      <c r="AX48" s="22"/>
      <c r="AY48" s="22">
        <f t="shared" si="40"/>
        <v>4.8988970588235299</v>
      </c>
      <c r="AZ48" s="39">
        <f t="shared" si="10"/>
        <v>203.125</v>
      </c>
      <c r="BA48" s="161" t="s">
        <v>374</v>
      </c>
      <c r="BB48" s="31" t="str">
        <f>IF(AR48&lt;=Sheet2!$D$2,Sheet2!$B$2,IF(AR48&lt;=Sheet2!$D$3,Sheet2!$B$3,IF(AR48&lt;=Sheet2!$D$4,Sheet2!$B$4,IF(AR48&lt;=Sheet2!$D$5,Sheet2!$B$5,IF(AR48&lt;=Sheet2!$D$6,Sheet2!$B$6,IF(AR48&lt;=Sheet2!$D$7,Sheet2!$B$7,IF(AR48&lt;=Sheet2!$D$8,Sheet2!$B$8,IF(AR48&lt;=Sheet2!$D$9,Sheet2!$B$9,IF(AR48&lt;=Sheet2!$D$10,Sheet2!$B$10,IF(AR48&lt;=Sheet2!$D$11,Sheet2!$B$11,0))))))))))</f>
        <v>FXSQ100A</v>
      </c>
    </row>
    <row r="49" spans="1:54" ht="15" hidden="1" thickBot="1" x14ac:dyDescent="0.35">
      <c r="A49" t="s">
        <v>111</v>
      </c>
      <c r="B49" s="3">
        <v>45</v>
      </c>
      <c r="C49" s="64" t="s">
        <v>342</v>
      </c>
      <c r="D49" s="27" t="s">
        <v>152</v>
      </c>
      <c r="E49" s="27" t="s">
        <v>172</v>
      </c>
      <c r="F49" s="28" t="s">
        <v>76</v>
      </c>
      <c r="G49" s="29">
        <f>5*4</f>
        <v>20</v>
      </c>
      <c r="H49" s="47">
        <f t="shared" ref="H49:H52" si="49">G49</f>
        <v>20</v>
      </c>
      <c r="I49" s="30">
        <v>2</v>
      </c>
      <c r="J49" s="42"/>
      <c r="K49" s="49">
        <f t="shared" si="36"/>
        <v>2</v>
      </c>
      <c r="L49" s="42">
        <v>0</v>
      </c>
      <c r="M49" s="2">
        <v>0</v>
      </c>
      <c r="N49" s="2">
        <f>VLOOKUP(A49,Data!A:B,2,FALSE)</f>
        <v>0</v>
      </c>
      <c r="O49" s="31">
        <f t="shared" si="47"/>
        <v>0</v>
      </c>
      <c r="P49" s="32">
        <v>22</v>
      </c>
      <c r="Q49" s="29" t="s">
        <v>31</v>
      </c>
      <c r="R49" s="33">
        <f>VLOOKUP(A49,Data!A:D,4,FALSE)</f>
        <v>0</v>
      </c>
      <c r="S49" s="2">
        <f>VLOOKUP(A49,Data!A:C,3,FALSE)</f>
        <v>0</v>
      </c>
      <c r="T49" s="2">
        <v>2</v>
      </c>
      <c r="U49" s="2">
        <f t="shared" ref="U49" si="50">T49*G49*3/3.6</f>
        <v>33.333333333333336</v>
      </c>
      <c r="V49" s="29">
        <f t="shared" si="21"/>
        <v>35</v>
      </c>
      <c r="W49" s="91"/>
      <c r="X49" s="62"/>
      <c r="Y49" s="34"/>
      <c r="Z49" s="34">
        <f t="shared" ref="Z49:Z54" si="51">U49/0.85</f>
        <v>39.215686274509807</v>
      </c>
      <c r="AA49" s="31">
        <f t="shared" si="5"/>
        <v>40</v>
      </c>
      <c r="AB49" s="92">
        <f>(CEILING(AA49,1))*-1</f>
        <v>-40</v>
      </c>
      <c r="AC49" s="132"/>
      <c r="AD49" s="93" t="str">
        <f t="shared" si="6"/>
        <v>Negative</v>
      </c>
      <c r="AE49" s="107">
        <f t="shared" si="7"/>
        <v>0.3</v>
      </c>
      <c r="AF49" s="106" t="b">
        <f t="shared" si="8"/>
        <v>1</v>
      </c>
      <c r="AG49" s="32"/>
      <c r="AH49" s="2"/>
      <c r="AI49" s="35"/>
      <c r="AJ49" s="36"/>
      <c r="AK49" s="32">
        <f>VLOOKUP(A49,Data!A:F,6,FALSE)</f>
        <v>10</v>
      </c>
      <c r="AL49" s="35">
        <f t="shared" si="39"/>
        <v>0.2</v>
      </c>
      <c r="AM49" s="36">
        <f t="shared" si="48"/>
        <v>0.2</v>
      </c>
      <c r="AN49" s="37"/>
      <c r="AO49" s="38"/>
      <c r="AP49" s="151">
        <v>1</v>
      </c>
      <c r="AQ49" s="151">
        <f t="shared" si="3"/>
        <v>0</v>
      </c>
      <c r="AR49" s="161">
        <v>2.4</v>
      </c>
      <c r="AS49" s="2">
        <f>IF(AR49&lt;=Sheet2!$D$2,Sheet2!$C$2,IF(AR49&lt;=Sheet2!$D$3,Sheet2!$C$3,IF(AR49&lt;=Sheet2!$D$4,Sheet2!$C$4,IF(AR49&lt;=Sheet2!$D$5,Sheet2!$C$5,IF(AR49&lt;=Sheet2!$D$6,Sheet2!$C$6,IF(AR49&lt;=Sheet2!$D$7,Sheet2!$C$7,IF(AR49&lt;=Sheet2!$D$8,Sheet2!$C$8,IF(AR49&lt;=Sheet2!$D$9,Sheet2!$C$9,IF(AR49&lt;=Sheet2!$D$10,Sheet2!$C$10,IF(AR49&lt;=Sheet2!$D$11,Sheet2!$C$11,0))))))))))</f>
        <v>158</v>
      </c>
      <c r="AT49" s="2">
        <f t="shared" si="9"/>
        <v>123</v>
      </c>
      <c r="AU49" s="38"/>
      <c r="AV49" s="38"/>
      <c r="AW49" s="38"/>
      <c r="AX49" s="38"/>
      <c r="AY49" s="38">
        <f t="shared" si="40"/>
        <v>7.9</v>
      </c>
      <c r="AZ49" s="39">
        <f t="shared" si="10"/>
        <v>408</v>
      </c>
      <c r="BA49" s="161" t="s">
        <v>375</v>
      </c>
      <c r="BB49" s="31" t="str">
        <f>IF(AR49&lt;=Sheet2!$D$2,Sheet2!$B$2,IF(AR49&lt;=Sheet2!$D$3,Sheet2!$B$3,IF(AR49&lt;=Sheet2!$D$4,Sheet2!$B$4,IF(AR49&lt;=Sheet2!$D$5,Sheet2!$B$5,IF(AR49&lt;=Sheet2!$D$6,Sheet2!$B$6,IF(AR49&lt;=Sheet2!$D$7,Sheet2!$B$7,IF(AR49&lt;=Sheet2!$D$8,Sheet2!$B$8,IF(AR49&lt;=Sheet2!$D$9,Sheet2!$B$9,IF(AR49&lt;=Sheet2!$D$10,Sheet2!$B$10,IF(AR49&lt;=Sheet2!$D$11,Sheet2!$B$11,0))))))))))</f>
        <v>FXSQ32A</v>
      </c>
    </row>
    <row r="50" spans="1:54" ht="13.95" hidden="1" customHeight="1" thickBot="1" x14ac:dyDescent="0.35">
      <c r="A50" t="s">
        <v>111</v>
      </c>
      <c r="B50" s="3">
        <v>46</v>
      </c>
      <c r="C50" s="64" t="s">
        <v>342</v>
      </c>
      <c r="D50" s="13" t="s">
        <v>153</v>
      </c>
      <c r="E50" s="13" t="s">
        <v>172</v>
      </c>
      <c r="F50" s="26" t="s">
        <v>76</v>
      </c>
      <c r="G50" s="14">
        <f t="shared" ref="G50:G52" si="52">5*4</f>
        <v>20</v>
      </c>
      <c r="H50" s="14">
        <f t="shared" si="49"/>
        <v>20</v>
      </c>
      <c r="I50" s="15">
        <v>2</v>
      </c>
      <c r="J50" s="41"/>
      <c r="K50" s="19">
        <f t="shared" si="36"/>
        <v>2</v>
      </c>
      <c r="L50" s="41">
        <v>0</v>
      </c>
      <c r="M50" s="17">
        <v>0</v>
      </c>
      <c r="N50" s="17">
        <f>VLOOKUP(A50,Data!A:B,2,FALSE)</f>
        <v>0</v>
      </c>
      <c r="O50" s="19">
        <f t="shared" si="47"/>
        <v>0</v>
      </c>
      <c r="P50" s="16">
        <v>22</v>
      </c>
      <c r="Q50" s="14" t="s">
        <v>31</v>
      </c>
      <c r="R50" s="12">
        <f>VLOOKUP(A50,Data!A:D,4,FALSE)</f>
        <v>0</v>
      </c>
      <c r="S50" s="17">
        <f>VLOOKUP(A50,Data!A:C,3,FALSE)</f>
        <v>0</v>
      </c>
      <c r="T50" s="2">
        <v>2</v>
      </c>
      <c r="U50" s="2">
        <f t="shared" ref="U50:U54" si="53">T50*G50*3/3.6</f>
        <v>33.333333333333336</v>
      </c>
      <c r="V50" s="29">
        <f t="shared" si="21"/>
        <v>35</v>
      </c>
      <c r="W50" s="91"/>
      <c r="X50" s="62"/>
      <c r="Y50" s="34"/>
      <c r="Z50" s="34">
        <f t="shared" si="51"/>
        <v>39.215686274509807</v>
      </c>
      <c r="AA50" s="31">
        <f t="shared" si="5"/>
        <v>40</v>
      </c>
      <c r="AB50" s="92">
        <f>(CEILING(AA50,1))*-1</f>
        <v>-40</v>
      </c>
      <c r="AC50" s="132"/>
      <c r="AD50" s="93" t="str">
        <f t="shared" si="6"/>
        <v>Negative</v>
      </c>
      <c r="AE50" s="107">
        <f t="shared" si="7"/>
        <v>0.3</v>
      </c>
      <c r="AF50" s="106" t="b">
        <f t="shared" si="8"/>
        <v>1</v>
      </c>
      <c r="AG50" s="16"/>
      <c r="AH50" s="17"/>
      <c r="AI50" s="18"/>
      <c r="AJ50" s="20"/>
      <c r="AK50" s="16">
        <f>VLOOKUP(A50,Data!A:F,6,FALSE)</f>
        <v>10</v>
      </c>
      <c r="AL50" s="18">
        <f t="shared" si="39"/>
        <v>0.2</v>
      </c>
      <c r="AM50" s="20">
        <f t="shared" si="48"/>
        <v>0.2</v>
      </c>
      <c r="AN50" s="21"/>
      <c r="AO50" s="22"/>
      <c r="AP50" s="152">
        <v>1</v>
      </c>
      <c r="AQ50" s="152">
        <f t="shared" si="3"/>
        <v>0</v>
      </c>
      <c r="AR50" s="162">
        <v>2.4</v>
      </c>
      <c r="AS50" s="17">
        <f>IF(AR50&lt;=Sheet2!$D$2,Sheet2!$C$2,IF(AR50&lt;=Sheet2!$D$3,Sheet2!$C$3,IF(AR50&lt;=Sheet2!$D$4,Sheet2!$C$4,IF(AR50&lt;=Sheet2!$D$5,Sheet2!$C$5,IF(AR50&lt;=Sheet2!$D$6,Sheet2!$C$6,IF(AR50&lt;=Sheet2!$D$7,Sheet2!$C$7,IF(AR50&lt;=Sheet2!$D$8,Sheet2!$C$8,IF(AR50&lt;=Sheet2!$D$9,Sheet2!$C$9,IF(AR50&lt;=Sheet2!$D$10,Sheet2!$C$10,IF(AR50&lt;=Sheet2!$D$11,Sheet2!$C$11,0))))))))))</f>
        <v>158</v>
      </c>
      <c r="AT50" s="2">
        <f t="shared" si="9"/>
        <v>123</v>
      </c>
      <c r="AU50" s="22"/>
      <c r="AV50" s="22"/>
      <c r="AW50" s="22"/>
      <c r="AX50" s="22"/>
      <c r="AY50" s="22">
        <f t="shared" si="40"/>
        <v>7.9</v>
      </c>
      <c r="AZ50" s="39">
        <f t="shared" si="10"/>
        <v>408</v>
      </c>
      <c r="BA50" s="161" t="s">
        <v>375</v>
      </c>
      <c r="BB50" s="31" t="str">
        <f>IF(AR50&lt;=Sheet2!$D$2,Sheet2!$B$2,IF(AR50&lt;=Sheet2!$D$3,Sheet2!$B$3,IF(AR50&lt;=Sheet2!$D$4,Sheet2!$B$4,IF(AR50&lt;=Sheet2!$D$5,Sheet2!$B$5,IF(AR50&lt;=Sheet2!$D$6,Sheet2!$B$6,IF(AR50&lt;=Sheet2!$D$7,Sheet2!$B$7,IF(AR50&lt;=Sheet2!$D$8,Sheet2!$B$8,IF(AR50&lt;=Sheet2!$D$9,Sheet2!$B$9,IF(AR50&lt;=Sheet2!$D$10,Sheet2!$B$10,IF(AR50&lt;=Sheet2!$D$11,Sheet2!$B$11,0))))))))))</f>
        <v>FXSQ32A</v>
      </c>
    </row>
    <row r="51" spans="1:54" ht="15" hidden="1" thickBot="1" x14ac:dyDescent="0.35">
      <c r="A51" t="s">
        <v>111</v>
      </c>
      <c r="B51" s="3">
        <v>47</v>
      </c>
      <c r="C51" s="64" t="s">
        <v>342</v>
      </c>
      <c r="D51" s="27" t="s">
        <v>154</v>
      </c>
      <c r="E51" s="27" t="s">
        <v>172</v>
      </c>
      <c r="F51" s="28" t="s">
        <v>76</v>
      </c>
      <c r="G51" s="29">
        <f t="shared" si="52"/>
        <v>20</v>
      </c>
      <c r="H51" s="47">
        <f t="shared" si="49"/>
        <v>20</v>
      </c>
      <c r="I51" s="30">
        <v>2</v>
      </c>
      <c r="J51" s="42"/>
      <c r="K51" s="49">
        <f t="shared" si="36"/>
        <v>2</v>
      </c>
      <c r="L51" s="42">
        <v>0</v>
      </c>
      <c r="M51" s="2">
        <v>0</v>
      </c>
      <c r="N51" s="2">
        <f>VLOOKUP(A51,Data!A:B,2,FALSE)</f>
        <v>0</v>
      </c>
      <c r="O51" s="31">
        <f t="shared" si="47"/>
        <v>0</v>
      </c>
      <c r="P51" s="32">
        <v>22</v>
      </c>
      <c r="Q51" s="29" t="s">
        <v>31</v>
      </c>
      <c r="R51" s="33">
        <f>VLOOKUP(A51,Data!A:D,4,FALSE)</f>
        <v>0</v>
      </c>
      <c r="S51" s="2">
        <f>VLOOKUP(A51,Data!A:C,3,FALSE)</f>
        <v>0</v>
      </c>
      <c r="T51" s="2">
        <v>2</v>
      </c>
      <c r="U51" s="2">
        <f t="shared" si="53"/>
        <v>33.333333333333336</v>
      </c>
      <c r="V51" s="29">
        <f t="shared" si="21"/>
        <v>35</v>
      </c>
      <c r="W51" s="91"/>
      <c r="X51" s="62"/>
      <c r="Y51" s="34"/>
      <c r="Z51" s="34">
        <f t="shared" si="51"/>
        <v>39.215686274509807</v>
      </c>
      <c r="AA51" s="31">
        <f t="shared" si="5"/>
        <v>40</v>
      </c>
      <c r="AB51" s="92">
        <f>(CEILING(AA51,1))*-1</f>
        <v>-40</v>
      </c>
      <c r="AC51" s="132"/>
      <c r="AD51" s="93" t="str">
        <f t="shared" si="6"/>
        <v>Negative</v>
      </c>
      <c r="AE51" s="107">
        <f t="shared" si="7"/>
        <v>0.3</v>
      </c>
      <c r="AF51" s="106" t="b">
        <f t="shared" si="8"/>
        <v>1</v>
      </c>
      <c r="AG51" s="32"/>
      <c r="AH51" s="2"/>
      <c r="AI51" s="35"/>
      <c r="AJ51" s="36"/>
      <c r="AK51" s="32">
        <f>VLOOKUP(A51,Data!A:F,6,FALSE)</f>
        <v>10</v>
      </c>
      <c r="AL51" s="35">
        <f t="shared" si="39"/>
        <v>0.2</v>
      </c>
      <c r="AM51" s="36">
        <f t="shared" si="48"/>
        <v>0.2</v>
      </c>
      <c r="AN51" s="37"/>
      <c r="AO51" s="38"/>
      <c r="AP51" s="151">
        <v>1</v>
      </c>
      <c r="AQ51" s="151">
        <f t="shared" si="3"/>
        <v>0</v>
      </c>
      <c r="AR51" s="161">
        <v>2.4</v>
      </c>
      <c r="AS51" s="2">
        <f>IF(AR51&lt;=Sheet2!$D$2,Sheet2!$C$2,IF(AR51&lt;=Sheet2!$D$3,Sheet2!$C$3,IF(AR51&lt;=Sheet2!$D$4,Sheet2!$C$4,IF(AR51&lt;=Sheet2!$D$5,Sheet2!$C$5,IF(AR51&lt;=Sheet2!$D$6,Sheet2!$C$6,IF(AR51&lt;=Sheet2!$D$7,Sheet2!$C$7,IF(AR51&lt;=Sheet2!$D$8,Sheet2!$C$8,IF(AR51&lt;=Sheet2!$D$9,Sheet2!$C$9,IF(AR51&lt;=Sheet2!$D$10,Sheet2!$C$10,IF(AR51&lt;=Sheet2!$D$11,Sheet2!$C$11,0))))))))))</f>
        <v>158</v>
      </c>
      <c r="AT51" s="2">
        <f t="shared" si="9"/>
        <v>123</v>
      </c>
      <c r="AU51" s="38"/>
      <c r="AV51" s="38"/>
      <c r="AW51" s="38"/>
      <c r="AX51" s="38"/>
      <c r="AY51" s="38">
        <f t="shared" si="40"/>
        <v>7.9</v>
      </c>
      <c r="AZ51" s="39">
        <f t="shared" si="10"/>
        <v>408</v>
      </c>
      <c r="BA51" s="161" t="s">
        <v>375</v>
      </c>
      <c r="BB51" s="31" t="str">
        <f>IF(AR51&lt;=Sheet2!$D$2,Sheet2!$B$2,IF(AR51&lt;=Sheet2!$D$3,Sheet2!$B$3,IF(AR51&lt;=Sheet2!$D$4,Sheet2!$B$4,IF(AR51&lt;=Sheet2!$D$5,Sheet2!$B$5,IF(AR51&lt;=Sheet2!$D$6,Sheet2!$B$6,IF(AR51&lt;=Sheet2!$D$7,Sheet2!$B$7,IF(AR51&lt;=Sheet2!$D$8,Sheet2!$B$8,IF(AR51&lt;=Sheet2!$D$9,Sheet2!$B$9,IF(AR51&lt;=Sheet2!$D$10,Sheet2!$B$10,IF(AR51&lt;=Sheet2!$D$11,Sheet2!$B$11,0))))))))))</f>
        <v>FXSQ32A</v>
      </c>
    </row>
    <row r="52" spans="1:54" ht="13.95" hidden="1" customHeight="1" thickBot="1" x14ac:dyDescent="0.35">
      <c r="A52" t="s">
        <v>111</v>
      </c>
      <c r="B52" s="3">
        <v>48</v>
      </c>
      <c r="C52" s="64" t="s">
        <v>342</v>
      </c>
      <c r="D52" s="13" t="s">
        <v>155</v>
      </c>
      <c r="E52" s="13" t="s">
        <v>172</v>
      </c>
      <c r="F52" s="26" t="s">
        <v>76</v>
      </c>
      <c r="G52" s="14">
        <f t="shared" si="52"/>
        <v>20</v>
      </c>
      <c r="H52" s="14">
        <f t="shared" si="49"/>
        <v>20</v>
      </c>
      <c r="I52" s="15">
        <v>2</v>
      </c>
      <c r="J52" s="41"/>
      <c r="K52" s="19">
        <f t="shared" si="36"/>
        <v>2</v>
      </c>
      <c r="L52" s="41">
        <v>0</v>
      </c>
      <c r="M52" s="17">
        <v>0</v>
      </c>
      <c r="N52" s="17">
        <f>VLOOKUP(A52,Data!A:B,2,FALSE)</f>
        <v>0</v>
      </c>
      <c r="O52" s="19">
        <f t="shared" si="47"/>
        <v>0</v>
      </c>
      <c r="P52" s="16">
        <v>22</v>
      </c>
      <c r="Q52" s="14" t="s">
        <v>31</v>
      </c>
      <c r="R52" s="12">
        <f>VLOOKUP(A52,Data!A:D,4,FALSE)</f>
        <v>0</v>
      </c>
      <c r="S52" s="17">
        <f>VLOOKUP(A52,Data!A:C,3,FALSE)</f>
        <v>0</v>
      </c>
      <c r="T52" s="2">
        <v>2</v>
      </c>
      <c r="U52" s="2">
        <f t="shared" si="53"/>
        <v>33.333333333333336</v>
      </c>
      <c r="V52" s="29">
        <f t="shared" si="21"/>
        <v>35</v>
      </c>
      <c r="W52" s="91"/>
      <c r="X52" s="62"/>
      <c r="Y52" s="34"/>
      <c r="Z52" s="34">
        <f t="shared" si="51"/>
        <v>39.215686274509807</v>
      </c>
      <c r="AA52" s="31">
        <f t="shared" si="5"/>
        <v>40</v>
      </c>
      <c r="AB52" s="92">
        <f>(CEILING(AA52,1))*-1</f>
        <v>-40</v>
      </c>
      <c r="AC52" s="132"/>
      <c r="AD52" s="93" t="str">
        <f t="shared" si="6"/>
        <v>Negative</v>
      </c>
      <c r="AE52" s="107">
        <f t="shared" si="7"/>
        <v>0.3</v>
      </c>
      <c r="AF52" s="106" t="b">
        <f t="shared" si="8"/>
        <v>1</v>
      </c>
      <c r="AG52" s="16"/>
      <c r="AH52" s="17"/>
      <c r="AI52" s="18"/>
      <c r="AJ52" s="20"/>
      <c r="AK52" s="16">
        <f>VLOOKUP(A52,Data!A:F,6,FALSE)</f>
        <v>10</v>
      </c>
      <c r="AL52" s="18">
        <f t="shared" si="39"/>
        <v>0.2</v>
      </c>
      <c r="AM52" s="20">
        <f t="shared" si="48"/>
        <v>0.2</v>
      </c>
      <c r="AN52" s="21"/>
      <c r="AO52" s="22"/>
      <c r="AP52" s="152">
        <v>1</v>
      </c>
      <c r="AQ52" s="152">
        <f t="shared" si="3"/>
        <v>0</v>
      </c>
      <c r="AR52" s="162">
        <v>2.4</v>
      </c>
      <c r="AS52" s="17">
        <f>IF(AR52&lt;=Sheet2!$D$2,Sheet2!$C$2,IF(AR52&lt;=Sheet2!$D$3,Sheet2!$C$3,IF(AR52&lt;=Sheet2!$D$4,Sheet2!$C$4,IF(AR52&lt;=Sheet2!$D$5,Sheet2!$C$5,IF(AR52&lt;=Sheet2!$D$6,Sheet2!$C$6,IF(AR52&lt;=Sheet2!$D$7,Sheet2!$C$7,IF(AR52&lt;=Sheet2!$D$8,Sheet2!$C$8,IF(AR52&lt;=Sheet2!$D$9,Sheet2!$C$9,IF(AR52&lt;=Sheet2!$D$10,Sheet2!$C$10,IF(AR52&lt;=Sheet2!$D$11,Sheet2!$C$11,0))))))))))</f>
        <v>158</v>
      </c>
      <c r="AT52" s="2">
        <f t="shared" si="9"/>
        <v>123</v>
      </c>
      <c r="AU52" s="22"/>
      <c r="AV52" s="22"/>
      <c r="AW52" s="22"/>
      <c r="AX52" s="22"/>
      <c r="AY52" s="22">
        <f t="shared" si="40"/>
        <v>7.9</v>
      </c>
      <c r="AZ52" s="39">
        <f t="shared" si="10"/>
        <v>408</v>
      </c>
      <c r="BA52" s="161" t="s">
        <v>375</v>
      </c>
      <c r="BB52" s="31" t="str">
        <f>IF(AR52&lt;=Sheet2!$D$2,Sheet2!$B$2,IF(AR52&lt;=Sheet2!$D$3,Sheet2!$B$3,IF(AR52&lt;=Sheet2!$D$4,Sheet2!$B$4,IF(AR52&lt;=Sheet2!$D$5,Sheet2!$B$5,IF(AR52&lt;=Sheet2!$D$6,Sheet2!$B$6,IF(AR52&lt;=Sheet2!$D$7,Sheet2!$B$7,IF(AR52&lt;=Sheet2!$D$8,Sheet2!$B$8,IF(AR52&lt;=Sheet2!$D$9,Sheet2!$B$9,IF(AR52&lt;=Sheet2!$D$10,Sheet2!$B$10,IF(AR52&lt;=Sheet2!$D$11,Sheet2!$B$11,0))))))))))</f>
        <v>FXSQ32A</v>
      </c>
    </row>
    <row r="53" spans="1:54" ht="15" hidden="1" thickBot="1" x14ac:dyDescent="0.35">
      <c r="A53" t="s">
        <v>111</v>
      </c>
      <c r="B53" s="3">
        <v>49</v>
      </c>
      <c r="C53" s="64" t="s">
        <v>342</v>
      </c>
      <c r="D53" s="27" t="s">
        <v>156</v>
      </c>
      <c r="E53" s="27" t="s">
        <v>172</v>
      </c>
      <c r="F53" s="28" t="s">
        <v>76</v>
      </c>
      <c r="G53" s="29">
        <f>5*4</f>
        <v>20</v>
      </c>
      <c r="H53" s="47">
        <f t="shared" ref="H53:H55" si="54">G53</f>
        <v>20</v>
      </c>
      <c r="I53" s="30">
        <v>2</v>
      </c>
      <c r="J53" s="42"/>
      <c r="K53" s="49">
        <f t="shared" si="36"/>
        <v>2</v>
      </c>
      <c r="L53" s="42">
        <v>0</v>
      </c>
      <c r="M53" s="2">
        <v>0</v>
      </c>
      <c r="N53" s="2">
        <f>VLOOKUP(A53,Data!A:B,2,FALSE)</f>
        <v>0</v>
      </c>
      <c r="O53" s="31">
        <f t="shared" ref="O53:O56" si="55">L53</f>
        <v>0</v>
      </c>
      <c r="P53" s="32">
        <v>22</v>
      </c>
      <c r="Q53" s="29" t="s">
        <v>31</v>
      </c>
      <c r="R53" s="33">
        <f>VLOOKUP(A53,Data!A:D,4,FALSE)</f>
        <v>0</v>
      </c>
      <c r="S53" s="2">
        <f>VLOOKUP(A53,Data!A:C,3,FALSE)</f>
        <v>0</v>
      </c>
      <c r="T53" s="2">
        <v>2</v>
      </c>
      <c r="U53" s="2">
        <f t="shared" si="53"/>
        <v>33.333333333333336</v>
      </c>
      <c r="V53" s="29">
        <f t="shared" si="21"/>
        <v>35</v>
      </c>
      <c r="W53" s="91"/>
      <c r="X53" s="62"/>
      <c r="Y53" s="34"/>
      <c r="Z53" s="34">
        <f t="shared" si="51"/>
        <v>39.215686274509807</v>
      </c>
      <c r="AA53" s="31">
        <f t="shared" si="5"/>
        <v>40</v>
      </c>
      <c r="AB53" s="92">
        <f>(CEILING(AA53,1))*-1</f>
        <v>-40</v>
      </c>
      <c r="AC53" s="132"/>
      <c r="AD53" s="93" t="str">
        <f t="shared" si="6"/>
        <v>Negative</v>
      </c>
      <c r="AE53" s="107">
        <f t="shared" si="7"/>
        <v>0.3</v>
      </c>
      <c r="AF53" s="106" t="b">
        <f t="shared" si="8"/>
        <v>1</v>
      </c>
      <c r="AG53" s="32"/>
      <c r="AH53" s="2"/>
      <c r="AI53" s="35"/>
      <c r="AJ53" s="36"/>
      <c r="AK53" s="32">
        <f>VLOOKUP(A53,Data!A:F,6,FALSE)</f>
        <v>10</v>
      </c>
      <c r="AL53" s="35">
        <f t="shared" si="39"/>
        <v>0.2</v>
      </c>
      <c r="AM53" s="36">
        <f t="shared" ref="AM53:AM55" si="56">AL53</f>
        <v>0.2</v>
      </c>
      <c r="AN53" s="37"/>
      <c r="AO53" s="38"/>
      <c r="AP53" s="151">
        <v>1</v>
      </c>
      <c r="AQ53" s="151">
        <f t="shared" si="3"/>
        <v>0</v>
      </c>
      <c r="AR53" s="161">
        <v>2.4</v>
      </c>
      <c r="AS53" s="2">
        <f>IF(AR53&lt;=Sheet2!$D$2,Sheet2!$C$2,IF(AR53&lt;=Sheet2!$D$3,Sheet2!$C$3,IF(AR53&lt;=Sheet2!$D$4,Sheet2!$C$4,IF(AR53&lt;=Sheet2!$D$5,Sheet2!$C$5,IF(AR53&lt;=Sheet2!$D$6,Sheet2!$C$6,IF(AR53&lt;=Sheet2!$D$7,Sheet2!$C$7,IF(AR53&lt;=Sheet2!$D$8,Sheet2!$C$8,IF(AR53&lt;=Sheet2!$D$9,Sheet2!$C$9,IF(AR53&lt;=Sheet2!$D$10,Sheet2!$C$10,IF(AR53&lt;=Sheet2!$D$11,Sheet2!$C$11,0))))))))))</f>
        <v>158</v>
      </c>
      <c r="AT53" s="2">
        <f t="shared" si="9"/>
        <v>123</v>
      </c>
      <c r="AU53" s="38"/>
      <c r="AV53" s="38"/>
      <c r="AW53" s="38"/>
      <c r="AX53" s="38"/>
      <c r="AY53" s="38">
        <f t="shared" si="40"/>
        <v>7.9</v>
      </c>
      <c r="AZ53" s="39">
        <f t="shared" si="10"/>
        <v>408</v>
      </c>
      <c r="BA53" s="161" t="s">
        <v>375</v>
      </c>
      <c r="BB53" s="31" t="str">
        <f>IF(AR53&lt;=Sheet2!$D$2,Sheet2!$B$2,IF(AR53&lt;=Sheet2!$D$3,Sheet2!$B$3,IF(AR53&lt;=Sheet2!$D$4,Sheet2!$B$4,IF(AR53&lt;=Sheet2!$D$5,Sheet2!$B$5,IF(AR53&lt;=Sheet2!$D$6,Sheet2!$B$6,IF(AR53&lt;=Sheet2!$D$7,Sheet2!$B$7,IF(AR53&lt;=Sheet2!$D$8,Sheet2!$B$8,IF(AR53&lt;=Sheet2!$D$9,Sheet2!$B$9,IF(AR53&lt;=Sheet2!$D$10,Sheet2!$B$10,IF(AR53&lt;=Sheet2!$D$11,Sheet2!$B$11,0))))))))))</f>
        <v>FXSQ32A</v>
      </c>
    </row>
    <row r="54" spans="1:54" ht="13.95" hidden="1" customHeight="1" thickBot="1" x14ac:dyDescent="0.35">
      <c r="A54" t="s">
        <v>109</v>
      </c>
      <c r="B54" s="3">
        <v>50</v>
      </c>
      <c r="C54" s="64" t="s">
        <v>342</v>
      </c>
      <c r="D54" s="13" t="s">
        <v>157</v>
      </c>
      <c r="E54" s="13" t="s">
        <v>78</v>
      </c>
      <c r="F54" s="26" t="s">
        <v>75</v>
      </c>
      <c r="G54" s="14">
        <f>5*5.5</f>
        <v>27.5</v>
      </c>
      <c r="H54" s="14">
        <f t="shared" si="54"/>
        <v>27.5</v>
      </c>
      <c r="I54" s="15">
        <v>0</v>
      </c>
      <c r="J54" s="41"/>
      <c r="K54" s="19">
        <f t="shared" si="36"/>
        <v>0</v>
      </c>
      <c r="L54" s="41">
        <v>0</v>
      </c>
      <c r="M54" s="17">
        <v>0</v>
      </c>
      <c r="N54" s="17">
        <f>VLOOKUP(A54,Data!A:B,2,FALSE)</f>
        <v>2</v>
      </c>
      <c r="O54" s="19">
        <f t="shared" si="55"/>
        <v>0</v>
      </c>
      <c r="P54" s="16">
        <v>22</v>
      </c>
      <c r="Q54" s="14" t="s">
        <v>31</v>
      </c>
      <c r="R54" s="12">
        <f>VLOOKUP(A54,Data!A:D,4,FALSE)</f>
        <v>0</v>
      </c>
      <c r="S54" s="17">
        <f>VLOOKUP(A54,Data!A:C,3,FALSE)</f>
        <v>0</v>
      </c>
      <c r="T54" s="2">
        <v>2</v>
      </c>
      <c r="U54" s="2">
        <f t="shared" si="53"/>
        <v>45.833333333333336</v>
      </c>
      <c r="V54" s="29">
        <v>45</v>
      </c>
      <c r="W54" s="91"/>
      <c r="X54" s="62"/>
      <c r="Y54" s="34"/>
      <c r="Z54" s="34">
        <f t="shared" si="51"/>
        <v>53.921568627450988</v>
      </c>
      <c r="AA54" s="31">
        <v>55</v>
      </c>
      <c r="AB54" s="92">
        <v>-55</v>
      </c>
      <c r="AC54" s="132"/>
      <c r="AD54" s="93" t="str">
        <f t="shared" si="6"/>
        <v>Negative</v>
      </c>
      <c r="AE54" s="107">
        <f t="shared" si="7"/>
        <v>0.44</v>
      </c>
      <c r="AF54" s="106" t="b">
        <f t="shared" si="8"/>
        <v>1</v>
      </c>
      <c r="AG54" s="16"/>
      <c r="AH54" s="17"/>
      <c r="AI54" s="18"/>
      <c r="AJ54" s="20"/>
      <c r="AK54" s="16">
        <f>VLOOKUP(A54,Data!A:F,6,FALSE)</f>
        <v>10</v>
      </c>
      <c r="AL54" s="18">
        <f t="shared" si="39"/>
        <v>0.27500000000000002</v>
      </c>
      <c r="AM54" s="20">
        <f t="shared" si="56"/>
        <v>0.27500000000000002</v>
      </c>
      <c r="AN54" s="21"/>
      <c r="AO54" s="22"/>
      <c r="AP54" s="152">
        <v>1</v>
      </c>
      <c r="AQ54" s="152">
        <f t="shared" si="3"/>
        <v>0</v>
      </c>
      <c r="AR54" s="162">
        <v>1.9</v>
      </c>
      <c r="AS54" s="17">
        <f>IF(AR54&lt;=Sheet2!$D$2,Sheet2!$C$2,IF(AR54&lt;=Sheet2!$D$3,Sheet2!$C$3,IF(AR54&lt;=Sheet2!$D$4,Sheet2!$C$4,IF(AR54&lt;=Sheet2!$D$5,Sheet2!$C$5,IF(AR54&lt;=Sheet2!$D$6,Sheet2!$C$6,IF(AR54&lt;=Sheet2!$D$7,Sheet2!$C$7,IF(AR54&lt;=Sheet2!$D$8,Sheet2!$C$8,IF(AR54&lt;=Sheet2!$D$9,Sheet2!$C$9,IF(AR54&lt;=Sheet2!$D$10,Sheet2!$C$10,IF(AR54&lt;=Sheet2!$D$11,Sheet2!$C$11,0))))))))))</f>
        <v>158</v>
      </c>
      <c r="AT54" s="2">
        <f t="shared" si="9"/>
        <v>113</v>
      </c>
      <c r="AU54" s="22"/>
      <c r="AV54" s="22"/>
      <c r="AW54" s="22"/>
      <c r="AX54" s="22"/>
      <c r="AY54" s="22">
        <f t="shared" si="40"/>
        <v>5.7454545454545451</v>
      </c>
      <c r="AZ54" s="39">
        <f t="shared" si="10"/>
        <v>234.90909090909091</v>
      </c>
      <c r="BA54" s="161" t="s">
        <v>375</v>
      </c>
      <c r="BB54" s="31" t="str">
        <f>IF(AR54&lt;=Sheet2!$D$2,Sheet2!$B$2,IF(AR54&lt;=Sheet2!$D$3,Sheet2!$B$3,IF(AR54&lt;=Sheet2!$D$4,Sheet2!$B$4,IF(AR54&lt;=Sheet2!$D$5,Sheet2!$B$5,IF(AR54&lt;=Sheet2!$D$6,Sheet2!$B$6,IF(AR54&lt;=Sheet2!$D$7,Sheet2!$B$7,IF(AR54&lt;=Sheet2!$D$8,Sheet2!$B$8,IF(AR54&lt;=Sheet2!$D$9,Sheet2!$B$9,IF(AR54&lt;=Sheet2!$D$10,Sheet2!$B$10,IF(AR54&lt;=Sheet2!$D$11,Sheet2!$B$11,0))))))))))</f>
        <v>FXSQ32A</v>
      </c>
    </row>
    <row r="55" spans="1:54" ht="15" hidden="1" thickBot="1" x14ac:dyDescent="0.35">
      <c r="A55" t="s">
        <v>110</v>
      </c>
      <c r="B55" s="3">
        <v>51</v>
      </c>
      <c r="C55" s="64" t="s">
        <v>342</v>
      </c>
      <c r="D55" s="27" t="s">
        <v>158</v>
      </c>
      <c r="E55" s="27" t="s">
        <v>166</v>
      </c>
      <c r="F55" s="28" t="s">
        <v>144</v>
      </c>
      <c r="G55" s="29">
        <f>5*4.3</f>
        <v>21.5</v>
      </c>
      <c r="H55" s="47">
        <f t="shared" si="54"/>
        <v>21.5</v>
      </c>
      <c r="I55" s="30">
        <v>4</v>
      </c>
      <c r="J55" s="42"/>
      <c r="K55" s="49">
        <f t="shared" si="36"/>
        <v>4</v>
      </c>
      <c r="L55" s="42">
        <v>0</v>
      </c>
      <c r="M55" s="2">
        <v>0</v>
      </c>
      <c r="N55" s="2">
        <f>VLOOKUP(A55,Data!A:B,2,FALSE)</f>
        <v>0</v>
      </c>
      <c r="O55" s="31">
        <f t="shared" si="55"/>
        <v>0</v>
      </c>
      <c r="P55" s="32">
        <v>22</v>
      </c>
      <c r="Q55" s="29" t="s">
        <v>31</v>
      </c>
      <c r="R55" s="33">
        <f>VLOOKUP(A55,Data!A:D,4,FALSE)</f>
        <v>0</v>
      </c>
      <c r="S55" s="2">
        <f>VLOOKUP(A55,Data!A:C,3,FALSE)</f>
        <v>0</v>
      </c>
      <c r="T55" s="2"/>
      <c r="U55" s="2">
        <f>AA55*0.85</f>
        <v>127.5</v>
      </c>
      <c r="V55" s="29">
        <v>140</v>
      </c>
      <c r="W55" s="91"/>
      <c r="X55" s="62">
        <v>25</v>
      </c>
      <c r="Y55" s="34">
        <v>6</v>
      </c>
      <c r="Z55" s="34">
        <f>Y55*X55</f>
        <v>150</v>
      </c>
      <c r="AA55" s="31">
        <f t="shared" si="5"/>
        <v>150</v>
      </c>
      <c r="AB55" s="92">
        <f>(CEILING(AA55,1))*-1</f>
        <v>-150</v>
      </c>
      <c r="AC55" s="132"/>
      <c r="AD55" s="93" t="str">
        <f t="shared" si="6"/>
        <v>Negative</v>
      </c>
      <c r="AE55" s="107">
        <f t="shared" si="7"/>
        <v>0.56000000000000005</v>
      </c>
      <c r="AF55" s="106" t="b">
        <f t="shared" si="8"/>
        <v>1</v>
      </c>
      <c r="AG55" s="32"/>
      <c r="AH55" s="2"/>
      <c r="AI55" s="35"/>
      <c r="AJ55" s="36"/>
      <c r="AK55" s="32">
        <f>VLOOKUP(A55,Data!A:F,6,FALSE)</f>
        <v>10</v>
      </c>
      <c r="AL55" s="35">
        <f t="shared" si="39"/>
        <v>0.215</v>
      </c>
      <c r="AM55" s="36">
        <f t="shared" si="56"/>
        <v>0.215</v>
      </c>
      <c r="AN55" s="37"/>
      <c r="AO55" s="38"/>
      <c r="AP55" s="151">
        <v>1</v>
      </c>
      <c r="AQ55" s="151">
        <f t="shared" si="3"/>
        <v>0</v>
      </c>
      <c r="AR55" s="161">
        <v>2.2999999999999998</v>
      </c>
      <c r="AS55" s="2">
        <f>IF(AR55&lt;=Sheet2!$D$2,Sheet2!$C$2,IF(AR55&lt;=Sheet2!$D$3,Sheet2!$C$3,IF(AR55&lt;=Sheet2!$D$4,Sheet2!$C$4,IF(AR55&lt;=Sheet2!$D$5,Sheet2!$C$5,IF(AR55&lt;=Sheet2!$D$6,Sheet2!$C$6,IF(AR55&lt;=Sheet2!$D$7,Sheet2!$C$7,IF(AR55&lt;=Sheet2!$D$8,Sheet2!$C$8,IF(AR55&lt;=Sheet2!$D$9,Sheet2!$C$9,IF(AR55&lt;=Sheet2!$D$10,Sheet2!$C$10,IF(AR55&lt;=Sheet2!$D$11,Sheet2!$C$11,0))))))))))</f>
        <v>158</v>
      </c>
      <c r="AT55" s="2">
        <f t="shared" si="9"/>
        <v>18</v>
      </c>
      <c r="AU55" s="38"/>
      <c r="AV55" s="38"/>
      <c r="AW55" s="38"/>
      <c r="AX55" s="38"/>
      <c r="AY55" s="38">
        <f t="shared" si="40"/>
        <v>7.3488372093023253</v>
      </c>
      <c r="AZ55" s="39">
        <f t="shared" si="10"/>
        <v>363.72093023255815</v>
      </c>
      <c r="BA55" s="161" t="s">
        <v>375</v>
      </c>
      <c r="BB55" s="31" t="str">
        <f>IF(AR55&lt;=Sheet2!$D$2,Sheet2!$B$2,IF(AR55&lt;=Sheet2!$D$3,Sheet2!$B$3,IF(AR55&lt;=Sheet2!$D$4,Sheet2!$B$4,IF(AR55&lt;=Sheet2!$D$5,Sheet2!$B$5,IF(AR55&lt;=Sheet2!$D$6,Sheet2!$B$6,IF(AR55&lt;=Sheet2!$D$7,Sheet2!$B$7,IF(AR55&lt;=Sheet2!$D$8,Sheet2!$B$8,IF(AR55&lt;=Sheet2!$D$9,Sheet2!$B$9,IF(AR55&lt;=Sheet2!$D$10,Sheet2!$B$10,IF(AR55&lt;=Sheet2!$D$11,Sheet2!$B$11,0))))))))))</f>
        <v>FXSQ32A</v>
      </c>
    </row>
    <row r="56" spans="1:54" ht="13.95" hidden="1" customHeight="1" thickBot="1" x14ac:dyDescent="0.35">
      <c r="A56" t="s">
        <v>109</v>
      </c>
      <c r="B56" s="3">
        <v>52</v>
      </c>
      <c r="C56" s="64" t="s">
        <v>342</v>
      </c>
      <c r="D56" s="13" t="s">
        <v>159</v>
      </c>
      <c r="E56" s="13" t="s">
        <v>64</v>
      </c>
      <c r="F56" s="26" t="s">
        <v>72</v>
      </c>
      <c r="G56" s="14">
        <f>3.2*5</f>
        <v>16</v>
      </c>
      <c r="H56" s="14">
        <f>G56</f>
        <v>16</v>
      </c>
      <c r="I56" s="15">
        <v>1</v>
      </c>
      <c r="J56" s="41"/>
      <c r="K56" s="19">
        <f t="shared" si="36"/>
        <v>1</v>
      </c>
      <c r="L56" s="41">
        <v>0</v>
      </c>
      <c r="M56" s="17">
        <v>0</v>
      </c>
      <c r="N56" s="17">
        <f>VLOOKUP(A56,Data!A:B,2,FALSE)</f>
        <v>2</v>
      </c>
      <c r="O56" s="19">
        <f t="shared" si="55"/>
        <v>0</v>
      </c>
      <c r="P56" s="16">
        <v>22</v>
      </c>
      <c r="Q56" s="14">
        <v>50</v>
      </c>
      <c r="R56" s="12">
        <f>VLOOKUP(A56,Data!A:D,4,FALSE)</f>
        <v>0</v>
      </c>
      <c r="S56" s="17">
        <f>VLOOKUP(A56,Data!A:C,3,FALSE)</f>
        <v>0</v>
      </c>
      <c r="T56" s="17"/>
      <c r="U56" s="17">
        <f t="shared" ref="U56:U83" si="57">R56*I56+S56*G56</f>
        <v>0</v>
      </c>
      <c r="V56" s="29"/>
      <c r="W56" s="91">
        <v>20</v>
      </c>
      <c r="X56" s="62"/>
      <c r="Y56" s="34"/>
      <c r="Z56" s="34">
        <f t="shared" si="38"/>
        <v>0</v>
      </c>
      <c r="AA56" s="31">
        <v>25</v>
      </c>
      <c r="AB56" s="92">
        <v>-25</v>
      </c>
      <c r="AC56" s="132"/>
      <c r="AD56" s="93" t="str">
        <f t="shared" si="6"/>
        <v>Negative</v>
      </c>
      <c r="AE56" s="107">
        <f t="shared" si="7"/>
        <v>0.38</v>
      </c>
      <c r="AF56" s="106" t="b">
        <f t="shared" si="8"/>
        <v>1</v>
      </c>
      <c r="AG56" s="16"/>
      <c r="AH56" s="17"/>
      <c r="AI56" s="18"/>
      <c r="AJ56" s="20"/>
      <c r="AK56" s="16">
        <f>VLOOKUP(A56,Data!A:F,6,FALSE)</f>
        <v>10</v>
      </c>
      <c r="AL56" s="18">
        <f t="shared" si="39"/>
        <v>0.16</v>
      </c>
      <c r="AM56" s="20">
        <f>AL56</f>
        <v>0.16</v>
      </c>
      <c r="AN56" s="21"/>
      <c r="AO56" s="22"/>
      <c r="AP56" s="152">
        <v>1</v>
      </c>
      <c r="AQ56" s="152">
        <f t="shared" si="3"/>
        <v>0</v>
      </c>
      <c r="AR56" s="162">
        <v>1.9</v>
      </c>
      <c r="AS56" s="17">
        <f>IF(AR56&lt;=Sheet2!$D$2,Sheet2!$C$2,IF(AR56&lt;=Sheet2!$D$3,Sheet2!$C$3,IF(AR56&lt;=Sheet2!$D$4,Sheet2!$C$4,IF(AR56&lt;=Sheet2!$D$5,Sheet2!$C$5,IF(AR56&lt;=Sheet2!$D$6,Sheet2!$C$6,IF(AR56&lt;=Sheet2!$D$7,Sheet2!$C$7,IF(AR56&lt;=Sheet2!$D$8,Sheet2!$C$8,IF(AR56&lt;=Sheet2!$D$9,Sheet2!$C$9,IF(AR56&lt;=Sheet2!$D$10,Sheet2!$C$10,IF(AR56&lt;=Sheet2!$D$11,Sheet2!$C$11,0))))))))))</f>
        <v>158</v>
      </c>
      <c r="AT56" s="2">
        <f t="shared" si="9"/>
        <v>158</v>
      </c>
      <c r="AU56" s="22"/>
      <c r="AV56" s="22"/>
      <c r="AW56" s="22"/>
      <c r="AX56" s="22"/>
      <c r="AY56" s="22">
        <f t="shared" si="40"/>
        <v>9.875</v>
      </c>
      <c r="AZ56" s="39">
        <f t="shared" si="10"/>
        <v>403.75</v>
      </c>
      <c r="BA56" s="161" t="s">
        <v>375</v>
      </c>
      <c r="BB56" s="31" t="str">
        <f>IF(AR56&lt;=Sheet2!$D$2,Sheet2!$B$2,IF(AR56&lt;=Sheet2!$D$3,Sheet2!$B$3,IF(AR56&lt;=Sheet2!$D$4,Sheet2!$B$4,IF(AR56&lt;=Sheet2!$D$5,Sheet2!$B$5,IF(AR56&lt;=Sheet2!$D$6,Sheet2!$B$6,IF(AR56&lt;=Sheet2!$D$7,Sheet2!$B$7,IF(AR56&lt;=Sheet2!$D$8,Sheet2!$B$8,IF(AR56&lt;=Sheet2!$D$9,Sheet2!$B$9,IF(AR56&lt;=Sheet2!$D$10,Sheet2!$B$10,IF(AR56&lt;=Sheet2!$D$11,Sheet2!$B$11,0))))))))))</f>
        <v>FXSQ32A</v>
      </c>
    </row>
    <row r="57" spans="1:54" ht="15" hidden="1" thickBot="1" x14ac:dyDescent="0.35">
      <c r="A57" t="s">
        <v>301</v>
      </c>
      <c r="B57" s="3">
        <v>53</v>
      </c>
      <c r="C57" s="64" t="s">
        <v>342</v>
      </c>
      <c r="D57" s="27" t="s">
        <v>160</v>
      </c>
      <c r="E57" s="27" t="s">
        <v>45</v>
      </c>
      <c r="F57" s="28" t="s">
        <v>60</v>
      </c>
      <c r="G57" s="29">
        <f>2.5*5</f>
        <v>12.5</v>
      </c>
      <c r="H57" s="47">
        <f>G57</f>
        <v>12.5</v>
      </c>
      <c r="I57" s="30">
        <v>1</v>
      </c>
      <c r="J57" s="42"/>
      <c r="K57" s="49">
        <f t="shared" si="36"/>
        <v>1</v>
      </c>
      <c r="L57" s="42">
        <v>0</v>
      </c>
      <c r="M57" s="2">
        <v>0</v>
      </c>
      <c r="N57" s="2">
        <f>VLOOKUP(A57,Data!A:B,2,FALSE)</f>
        <v>0</v>
      </c>
      <c r="O57" s="31">
        <f>L57</f>
        <v>0</v>
      </c>
      <c r="P57" s="32">
        <v>22</v>
      </c>
      <c r="Q57" s="29">
        <v>51</v>
      </c>
      <c r="R57" s="33">
        <f>VLOOKUP(A57,Data!A:D,4,FALSE)</f>
        <v>0</v>
      </c>
      <c r="S57" s="2">
        <f>VLOOKUP(A57,Data!A:C,3,FALSE)</f>
        <v>0</v>
      </c>
      <c r="T57" s="2"/>
      <c r="U57" s="2">
        <f>AA57*0.85</f>
        <v>55.25</v>
      </c>
      <c r="V57" s="29">
        <v>58</v>
      </c>
      <c r="W57" s="91"/>
      <c r="X57" s="62">
        <f>VLOOKUP(A57,Data!A:E,5,FALSE)</f>
        <v>5</v>
      </c>
      <c r="Y57" s="34"/>
      <c r="Z57" s="34">
        <f>G57*X57</f>
        <v>62.5</v>
      </c>
      <c r="AA57" s="31">
        <v>65</v>
      </c>
      <c r="AB57" s="92">
        <v>-65</v>
      </c>
      <c r="AC57" s="132"/>
      <c r="AD57" s="93" t="str">
        <f t="shared" si="6"/>
        <v>Negative</v>
      </c>
      <c r="AE57" s="107">
        <f t="shared" si="7"/>
        <v>0.67</v>
      </c>
      <c r="AF57" s="106" t="b">
        <f t="shared" si="8"/>
        <v>1</v>
      </c>
      <c r="AG57" s="32"/>
      <c r="AH57" s="2"/>
      <c r="AI57" s="35"/>
      <c r="AJ57" s="36"/>
      <c r="AK57" s="32">
        <f>VLOOKUP(A57,Data!A:F,6,FALSE)</f>
        <v>0</v>
      </c>
      <c r="AL57" s="35">
        <f t="shared" si="39"/>
        <v>0</v>
      </c>
      <c r="AM57" s="36">
        <f>AL57</f>
        <v>0</v>
      </c>
      <c r="AN57" s="37"/>
      <c r="AO57" s="38"/>
      <c r="AP57" s="151">
        <v>1</v>
      </c>
      <c r="AQ57" s="151">
        <f t="shared" si="3"/>
        <v>0</v>
      </c>
      <c r="AR57" s="161">
        <v>1.1000000000000001</v>
      </c>
      <c r="AS57" s="2">
        <f>IF(AR57&lt;=Sheet2!$D$2,Sheet2!$C$2,IF(AR57&lt;=Sheet2!$D$3,Sheet2!$C$3,IF(AR57&lt;=Sheet2!$D$4,Sheet2!$C$4,IF(AR57&lt;=Sheet2!$D$5,Sheet2!$C$5,IF(AR57&lt;=Sheet2!$D$6,Sheet2!$C$6,IF(AR57&lt;=Sheet2!$D$7,Sheet2!$C$7,IF(AR57&lt;=Sheet2!$D$8,Sheet2!$C$8,IF(AR57&lt;=Sheet2!$D$9,Sheet2!$C$9,IF(AR57&lt;=Sheet2!$D$10,Sheet2!$C$10,IF(AR57&lt;=Sheet2!$D$11,Sheet2!$C$11,0))))))))))</f>
        <v>150</v>
      </c>
      <c r="AT57" s="2">
        <f t="shared" si="9"/>
        <v>92</v>
      </c>
      <c r="AU57" s="38"/>
      <c r="AV57" s="38"/>
      <c r="AW57" s="38"/>
      <c r="AX57" s="38"/>
      <c r="AY57" s="38">
        <f t="shared" si="40"/>
        <v>12</v>
      </c>
      <c r="AZ57" s="39">
        <f t="shared" si="10"/>
        <v>299.20000000000005</v>
      </c>
      <c r="BA57" s="161" t="s">
        <v>375</v>
      </c>
      <c r="BB57" s="31" t="str">
        <f>IF(AR57&lt;=Sheet2!$D$2,Sheet2!$B$2,IF(AR57&lt;=Sheet2!$D$3,Sheet2!$B$3,IF(AR57&lt;=Sheet2!$D$4,Sheet2!$B$4,IF(AR57&lt;=Sheet2!$D$5,Sheet2!$B$5,IF(AR57&lt;=Sheet2!$D$6,Sheet2!$B$6,IF(AR57&lt;=Sheet2!$D$7,Sheet2!$B$7,IF(AR57&lt;=Sheet2!$D$8,Sheet2!$B$8,IF(AR57&lt;=Sheet2!$D$9,Sheet2!$B$9,IF(AR57&lt;=Sheet2!$D$10,Sheet2!$B$10,IF(AR57&lt;=Sheet2!$D$11,Sheet2!$B$11,0))))))))))</f>
        <v>FXSQ20A</v>
      </c>
    </row>
    <row r="58" spans="1:54" ht="13.95" hidden="1" customHeight="1" thickBot="1" x14ac:dyDescent="0.35">
      <c r="A58" t="s">
        <v>121</v>
      </c>
      <c r="B58" s="3">
        <v>54</v>
      </c>
      <c r="C58" s="64" t="s">
        <v>342</v>
      </c>
      <c r="D58" s="13" t="s">
        <v>161</v>
      </c>
      <c r="E58" s="13" t="s">
        <v>65</v>
      </c>
      <c r="F58" s="26" t="s">
        <v>61</v>
      </c>
      <c r="G58" s="14">
        <f>4*2.8</f>
        <v>11.2</v>
      </c>
      <c r="H58" s="14">
        <f>G58</f>
        <v>11.2</v>
      </c>
      <c r="I58" s="15">
        <v>1</v>
      </c>
      <c r="J58" s="41"/>
      <c r="K58" s="19">
        <f t="shared" si="36"/>
        <v>1</v>
      </c>
      <c r="L58" s="41">
        <v>0</v>
      </c>
      <c r="M58" s="17">
        <v>0</v>
      </c>
      <c r="N58" s="17">
        <f>VLOOKUP(A58,Data!A:B,2,FALSE)</f>
        <v>0</v>
      </c>
      <c r="O58" s="19">
        <f>L58</f>
        <v>0</v>
      </c>
      <c r="P58" s="16">
        <v>26</v>
      </c>
      <c r="Q58" s="14" t="s">
        <v>31</v>
      </c>
      <c r="R58" s="12">
        <f>VLOOKUP(A58,Data!A:D,4,FALSE)</f>
        <v>0</v>
      </c>
      <c r="S58" s="17">
        <f>VLOOKUP(A58,Data!A:C,3,FALSE)</f>
        <v>0</v>
      </c>
      <c r="T58" s="17"/>
      <c r="U58" s="17">
        <f t="shared" si="57"/>
        <v>0</v>
      </c>
      <c r="V58" s="29">
        <v>50</v>
      </c>
      <c r="W58" s="91"/>
      <c r="X58" s="62"/>
      <c r="Y58" s="34"/>
      <c r="Z58" s="34">
        <f>U58/0.85</f>
        <v>0</v>
      </c>
      <c r="AA58" s="31">
        <v>55</v>
      </c>
      <c r="AB58" s="92">
        <v>-55</v>
      </c>
      <c r="AC58" s="132"/>
      <c r="AD58" s="93" t="str">
        <f t="shared" si="6"/>
        <v>Negative</v>
      </c>
      <c r="AE58" s="107">
        <f t="shared" si="7"/>
        <v>0.54</v>
      </c>
      <c r="AF58" s="106" t="b">
        <f t="shared" si="8"/>
        <v>1</v>
      </c>
      <c r="AG58" s="16"/>
      <c r="AH58" s="17"/>
      <c r="AI58" s="18"/>
      <c r="AJ58" s="20"/>
      <c r="AK58" s="16">
        <f>VLOOKUP(A58,Data!A:F,6,FALSE)</f>
        <v>10</v>
      </c>
      <c r="AL58" s="18">
        <f t="shared" si="39"/>
        <v>0.112</v>
      </c>
      <c r="AM58" s="20">
        <f>AL58</f>
        <v>0.112</v>
      </c>
      <c r="AN58" s="21"/>
      <c r="AO58" s="22"/>
      <c r="AP58" s="152">
        <v>1</v>
      </c>
      <c r="AQ58" s="152">
        <f t="shared" si="3"/>
        <v>0</v>
      </c>
      <c r="AR58" s="162">
        <v>6.1</v>
      </c>
      <c r="AS58" s="17">
        <f>IF(AR58&lt;=Sheet2!$D$2,Sheet2!$C$2,IF(AR58&lt;=Sheet2!$D$3,Sheet2!$C$3,IF(AR58&lt;=Sheet2!$D$4,Sheet2!$C$4,IF(AR58&lt;=Sheet2!$D$5,Sheet2!$C$5,IF(AR58&lt;=Sheet2!$D$6,Sheet2!$C$6,IF(AR58&lt;=Sheet2!$D$7,Sheet2!$C$7,IF(AR58&lt;=Sheet2!$D$8,Sheet2!$C$8,IF(AR58&lt;=Sheet2!$D$9,Sheet2!$C$9,IF(AR58&lt;=Sheet2!$D$10,Sheet2!$C$10,IF(AR58&lt;=Sheet2!$D$11,Sheet2!$C$11,0))))))))))</f>
        <v>533</v>
      </c>
      <c r="AT58" s="2">
        <f t="shared" si="9"/>
        <v>483</v>
      </c>
      <c r="AU58" s="22"/>
      <c r="AV58" s="22"/>
      <c r="AW58" s="22"/>
      <c r="AX58" s="22"/>
      <c r="AY58" s="22">
        <f t="shared" si="40"/>
        <v>47.589285714285715</v>
      </c>
      <c r="AZ58" s="39">
        <f t="shared" si="10"/>
        <v>1851.7857142857142</v>
      </c>
      <c r="BA58" s="161" t="s">
        <v>375</v>
      </c>
      <c r="BB58" s="31" t="str">
        <f>IF(AR58&lt;=Sheet2!$D$2,Sheet2!$B$2,IF(AR58&lt;=Sheet2!$D$3,Sheet2!$B$3,IF(AR58&lt;=Sheet2!$D$4,Sheet2!$B$4,IF(AR58&lt;=Sheet2!$D$5,Sheet2!$B$5,IF(AR58&lt;=Sheet2!$D$6,Sheet2!$B$6,IF(AR58&lt;=Sheet2!$D$7,Sheet2!$B$7,IF(AR58&lt;=Sheet2!$D$8,Sheet2!$B$8,IF(AR58&lt;=Sheet2!$D$9,Sheet2!$B$9,IF(AR58&lt;=Sheet2!$D$10,Sheet2!$B$10,IF(AR58&lt;=Sheet2!$D$11,Sheet2!$B$11,0))))))))))</f>
        <v>FXSQ100A</v>
      </c>
    </row>
    <row r="59" spans="1:54" ht="15" hidden="1" thickBot="1" x14ac:dyDescent="0.35">
      <c r="A59" t="s">
        <v>109</v>
      </c>
      <c r="B59" s="3">
        <v>55</v>
      </c>
      <c r="C59" s="64" t="s">
        <v>342</v>
      </c>
      <c r="D59" s="27" t="s">
        <v>162</v>
      </c>
      <c r="E59" s="27" t="s">
        <v>67</v>
      </c>
      <c r="F59" s="28" t="s">
        <v>62</v>
      </c>
      <c r="G59" s="29">
        <f>2.5*2.4</f>
        <v>6</v>
      </c>
      <c r="H59" s="47">
        <f t="shared" ref="H59:H64" si="58">G59</f>
        <v>6</v>
      </c>
      <c r="I59" s="30">
        <v>1</v>
      </c>
      <c r="J59" s="42"/>
      <c r="K59" s="49">
        <f t="shared" si="36"/>
        <v>1</v>
      </c>
      <c r="L59" s="42">
        <v>0</v>
      </c>
      <c r="M59" s="2">
        <v>0</v>
      </c>
      <c r="N59" s="2">
        <f>VLOOKUP(A59,Data!A:B,2,FALSE)</f>
        <v>2</v>
      </c>
      <c r="O59" s="31">
        <f t="shared" ref="O59:O64" si="59">L59</f>
        <v>0</v>
      </c>
      <c r="P59" s="32">
        <v>22</v>
      </c>
      <c r="Q59" s="29" t="s">
        <v>31</v>
      </c>
      <c r="R59" s="33">
        <f>VLOOKUP(A59,Data!A:D,4,FALSE)</f>
        <v>0</v>
      </c>
      <c r="S59" s="2">
        <f>VLOOKUP(A59,Data!A:C,3,FALSE)</f>
        <v>0</v>
      </c>
      <c r="T59" s="2"/>
      <c r="U59" s="2">
        <f t="shared" si="57"/>
        <v>0</v>
      </c>
      <c r="V59" s="29"/>
      <c r="W59" s="91">
        <v>22</v>
      </c>
      <c r="X59" s="62"/>
      <c r="Y59" s="34"/>
      <c r="Z59" s="34">
        <f t="shared" si="38"/>
        <v>0</v>
      </c>
      <c r="AA59" s="31">
        <v>25</v>
      </c>
      <c r="AB59" s="92">
        <v>-25</v>
      </c>
      <c r="AC59" s="132"/>
      <c r="AD59" s="93" t="str">
        <f t="shared" si="6"/>
        <v>Negative</v>
      </c>
      <c r="AE59" s="107">
        <f t="shared" si="7"/>
        <v>0.6</v>
      </c>
      <c r="AF59" s="106" t="b">
        <f t="shared" si="8"/>
        <v>1</v>
      </c>
      <c r="AG59" s="32"/>
      <c r="AH59" s="2"/>
      <c r="AI59" s="35"/>
      <c r="AJ59" s="36"/>
      <c r="AK59" s="32">
        <f>VLOOKUP(A59,Data!A:F,6,FALSE)</f>
        <v>10</v>
      </c>
      <c r="AL59" s="35">
        <f t="shared" si="39"/>
        <v>0.06</v>
      </c>
      <c r="AM59" s="36">
        <f t="shared" ref="AM59:AM64" si="60">AL59</f>
        <v>0.06</v>
      </c>
      <c r="AN59" s="37"/>
      <c r="AO59" s="38"/>
      <c r="AP59" s="151">
        <v>1</v>
      </c>
      <c r="AQ59" s="151">
        <f t="shared" si="3"/>
        <v>0</v>
      </c>
      <c r="AR59" s="161">
        <v>0</v>
      </c>
      <c r="AS59" s="2">
        <f>IF(AR59&lt;=Sheet2!$D$2,Sheet2!$C$2,IF(AR59&lt;=Sheet2!$D$3,Sheet2!$C$3,IF(AR59&lt;=Sheet2!$D$4,Sheet2!$C$4,IF(AR59&lt;=Sheet2!$D$5,Sheet2!$C$5,IF(AR59&lt;=Sheet2!$D$6,Sheet2!$C$6,IF(AR59&lt;=Sheet2!$D$7,Sheet2!$C$7,IF(AR59&lt;=Sheet2!$D$8,Sheet2!$C$8,IF(AR59&lt;=Sheet2!$D$9,Sheet2!$C$9,IF(AR59&lt;=Sheet2!$D$10,Sheet2!$C$10,IF(AR59&lt;=Sheet2!$D$11,Sheet2!$C$11,0))))))))))</f>
        <v>150</v>
      </c>
      <c r="AT59" s="2">
        <f t="shared" si="9"/>
        <v>150</v>
      </c>
      <c r="AU59" s="38"/>
      <c r="AV59" s="38"/>
      <c r="AW59" s="38"/>
      <c r="AX59" s="38"/>
      <c r="AY59" s="38">
        <f t="shared" si="40"/>
        <v>25</v>
      </c>
      <c r="AZ59" s="39">
        <f t="shared" si="10"/>
        <v>0</v>
      </c>
      <c r="BA59" s="161" t="s">
        <v>375</v>
      </c>
      <c r="BB59" s="31" t="str">
        <f>IF(AR59&lt;=Sheet2!$D$2,Sheet2!$B$2,IF(AR59&lt;=Sheet2!$D$3,Sheet2!$B$3,IF(AR59&lt;=Sheet2!$D$4,Sheet2!$B$4,IF(AR59&lt;=Sheet2!$D$5,Sheet2!$B$5,IF(AR59&lt;=Sheet2!$D$6,Sheet2!$B$6,IF(AR59&lt;=Sheet2!$D$7,Sheet2!$B$7,IF(AR59&lt;=Sheet2!$D$8,Sheet2!$B$8,IF(AR59&lt;=Sheet2!$D$9,Sheet2!$B$9,IF(AR59&lt;=Sheet2!$D$10,Sheet2!$B$10,IF(AR59&lt;=Sheet2!$D$11,Sheet2!$B$11,0))))))))))</f>
        <v>FXSQ20A</v>
      </c>
    </row>
    <row r="60" spans="1:54" ht="13.95" hidden="1" customHeight="1" thickBot="1" x14ac:dyDescent="0.35">
      <c r="A60" t="s">
        <v>109</v>
      </c>
      <c r="B60" s="3">
        <v>56</v>
      </c>
      <c r="C60" s="64" t="s">
        <v>342</v>
      </c>
      <c r="D60" s="13" t="s">
        <v>163</v>
      </c>
      <c r="E60" s="13" t="s">
        <v>66</v>
      </c>
      <c r="F60" s="26" t="s">
        <v>63</v>
      </c>
      <c r="G60" s="14">
        <f>2.5*2.4</f>
        <v>6</v>
      </c>
      <c r="H60" s="14">
        <f t="shared" si="58"/>
        <v>6</v>
      </c>
      <c r="I60" s="15">
        <v>1</v>
      </c>
      <c r="J60" s="41"/>
      <c r="K60" s="19">
        <f t="shared" si="36"/>
        <v>1</v>
      </c>
      <c r="L60" s="41">
        <v>0</v>
      </c>
      <c r="M60" s="17">
        <v>0</v>
      </c>
      <c r="N60" s="17">
        <f>VLOOKUP(A60,Data!A:B,2,FALSE)</f>
        <v>2</v>
      </c>
      <c r="O60" s="19">
        <f t="shared" si="59"/>
        <v>0</v>
      </c>
      <c r="P60" s="16">
        <v>22</v>
      </c>
      <c r="Q60" s="14" t="s">
        <v>31</v>
      </c>
      <c r="R60" s="12">
        <f>VLOOKUP(A60,Data!A:D,4,FALSE)</f>
        <v>0</v>
      </c>
      <c r="S60" s="17">
        <f>VLOOKUP(A60,Data!A:C,3,FALSE)</f>
        <v>0</v>
      </c>
      <c r="T60" s="17"/>
      <c r="U60" s="17">
        <f t="shared" si="57"/>
        <v>0</v>
      </c>
      <c r="V60" s="29"/>
      <c r="W60" s="91">
        <v>22</v>
      </c>
      <c r="X60" s="62"/>
      <c r="Y60" s="34"/>
      <c r="Z60" s="34">
        <f t="shared" si="38"/>
        <v>0</v>
      </c>
      <c r="AA60" s="31">
        <v>25</v>
      </c>
      <c r="AB60" s="92">
        <v>-25</v>
      </c>
      <c r="AC60" s="132"/>
      <c r="AD60" s="93" t="str">
        <f t="shared" si="6"/>
        <v>Negative</v>
      </c>
      <c r="AE60" s="107">
        <f t="shared" si="7"/>
        <v>0.6</v>
      </c>
      <c r="AF60" s="106" t="b">
        <f t="shared" si="8"/>
        <v>1</v>
      </c>
      <c r="AG60" s="16"/>
      <c r="AH60" s="17"/>
      <c r="AI60" s="18"/>
      <c r="AJ60" s="20"/>
      <c r="AK60" s="16">
        <f>VLOOKUP(A60,Data!A:F,6,FALSE)</f>
        <v>10</v>
      </c>
      <c r="AL60" s="18">
        <f t="shared" si="39"/>
        <v>0.06</v>
      </c>
      <c r="AM60" s="20">
        <f t="shared" si="60"/>
        <v>0.06</v>
      </c>
      <c r="AN60" s="21"/>
      <c r="AO60" s="22"/>
      <c r="AP60" s="152">
        <v>1</v>
      </c>
      <c r="AQ60" s="152">
        <f t="shared" si="3"/>
        <v>0</v>
      </c>
      <c r="AR60" s="162">
        <v>0</v>
      </c>
      <c r="AS60" s="17">
        <f>IF(AR60&lt;=Sheet2!$D$2,Sheet2!$C$2,IF(AR60&lt;=Sheet2!$D$3,Sheet2!$C$3,IF(AR60&lt;=Sheet2!$D$4,Sheet2!$C$4,IF(AR60&lt;=Sheet2!$D$5,Sheet2!$C$5,IF(AR60&lt;=Sheet2!$D$6,Sheet2!$C$6,IF(AR60&lt;=Sheet2!$D$7,Sheet2!$C$7,IF(AR60&lt;=Sheet2!$D$8,Sheet2!$C$8,IF(AR60&lt;=Sheet2!$D$9,Sheet2!$C$9,IF(AR60&lt;=Sheet2!$D$10,Sheet2!$C$10,IF(AR60&lt;=Sheet2!$D$11,Sheet2!$C$11,0))))))))))</f>
        <v>150</v>
      </c>
      <c r="AT60" s="2">
        <f t="shared" si="9"/>
        <v>150</v>
      </c>
      <c r="AU60" s="22"/>
      <c r="AV60" s="22"/>
      <c r="AW60" s="22"/>
      <c r="AX60" s="22"/>
      <c r="AY60" s="22">
        <f t="shared" si="40"/>
        <v>25</v>
      </c>
      <c r="AZ60" s="39">
        <f t="shared" si="10"/>
        <v>0</v>
      </c>
      <c r="BA60" s="161" t="s">
        <v>375</v>
      </c>
      <c r="BB60" s="31" t="str">
        <f>IF(AR60&lt;=Sheet2!$D$2,Sheet2!$B$2,IF(AR60&lt;=Sheet2!$D$3,Sheet2!$B$3,IF(AR60&lt;=Sheet2!$D$4,Sheet2!$B$4,IF(AR60&lt;=Sheet2!$D$5,Sheet2!$B$5,IF(AR60&lt;=Sheet2!$D$6,Sheet2!$B$6,IF(AR60&lt;=Sheet2!$D$7,Sheet2!$B$7,IF(AR60&lt;=Sheet2!$D$8,Sheet2!$B$8,IF(AR60&lt;=Sheet2!$D$9,Sheet2!$B$9,IF(AR60&lt;=Sheet2!$D$10,Sheet2!$B$10,IF(AR60&lt;=Sheet2!$D$11,Sheet2!$B$11,0))))))))))</f>
        <v>FXSQ20A</v>
      </c>
    </row>
    <row r="61" spans="1:54" ht="15" hidden="1" thickBot="1" x14ac:dyDescent="0.35">
      <c r="A61" t="s">
        <v>109</v>
      </c>
      <c r="B61" s="3">
        <v>57</v>
      </c>
      <c r="C61" s="64" t="s">
        <v>342</v>
      </c>
      <c r="D61" s="27" t="s">
        <v>164</v>
      </c>
      <c r="E61" s="27" t="s">
        <v>70</v>
      </c>
      <c r="F61" s="28" t="s">
        <v>68</v>
      </c>
      <c r="G61" s="29">
        <f>2.7*5</f>
        <v>13.5</v>
      </c>
      <c r="H61" s="47">
        <f t="shared" si="58"/>
        <v>13.5</v>
      </c>
      <c r="I61" s="30">
        <v>1</v>
      </c>
      <c r="J61" s="42"/>
      <c r="K61" s="49">
        <f t="shared" si="36"/>
        <v>1</v>
      </c>
      <c r="L61" s="42">
        <v>0</v>
      </c>
      <c r="M61" s="2">
        <v>0</v>
      </c>
      <c r="N61" s="2">
        <f>VLOOKUP(A61,Data!A:B,2,FALSE)</f>
        <v>2</v>
      </c>
      <c r="O61" s="31">
        <f t="shared" si="59"/>
        <v>0</v>
      </c>
      <c r="P61" s="32">
        <v>22</v>
      </c>
      <c r="Q61" s="29" t="s">
        <v>31</v>
      </c>
      <c r="R61" s="33">
        <f>VLOOKUP(A61,Data!A:D,4,FALSE)</f>
        <v>0</v>
      </c>
      <c r="S61" s="2">
        <f>VLOOKUP(A61,Data!A:C,3,FALSE)</f>
        <v>0</v>
      </c>
      <c r="T61" s="2"/>
      <c r="U61" s="2">
        <f t="shared" si="57"/>
        <v>0</v>
      </c>
      <c r="V61" s="29"/>
      <c r="W61" s="91">
        <v>20</v>
      </c>
      <c r="X61" s="62"/>
      <c r="Y61" s="34"/>
      <c r="Z61" s="34">
        <f t="shared" si="38"/>
        <v>0</v>
      </c>
      <c r="AA61" s="31">
        <v>25</v>
      </c>
      <c r="AB61" s="92">
        <v>-25</v>
      </c>
      <c r="AC61" s="132"/>
      <c r="AD61" s="93" t="str">
        <f t="shared" si="6"/>
        <v>Negative</v>
      </c>
      <c r="AE61" s="107">
        <f t="shared" si="7"/>
        <v>0.44</v>
      </c>
      <c r="AF61" s="106" t="b">
        <f t="shared" si="8"/>
        <v>1</v>
      </c>
      <c r="AG61" s="32"/>
      <c r="AH61" s="2"/>
      <c r="AI61" s="35"/>
      <c r="AJ61" s="36"/>
      <c r="AK61" s="32">
        <f>VLOOKUP(A61,Data!A:F,6,FALSE)</f>
        <v>10</v>
      </c>
      <c r="AL61" s="35">
        <f t="shared" si="39"/>
        <v>0.13500000000000001</v>
      </c>
      <c r="AM61" s="36">
        <f t="shared" si="60"/>
        <v>0.13500000000000001</v>
      </c>
      <c r="AN61" s="37"/>
      <c r="AO61" s="38"/>
      <c r="AP61" s="151">
        <v>1</v>
      </c>
      <c r="AQ61" s="151">
        <f t="shared" si="3"/>
        <v>0</v>
      </c>
      <c r="AR61" s="161">
        <v>0</v>
      </c>
      <c r="AS61" s="2">
        <f>IF(AR61&lt;=Sheet2!$D$2,Sheet2!$C$2,IF(AR61&lt;=Sheet2!$D$3,Sheet2!$C$3,IF(AR61&lt;=Sheet2!$D$4,Sheet2!$C$4,IF(AR61&lt;=Sheet2!$D$5,Sheet2!$C$5,IF(AR61&lt;=Sheet2!$D$6,Sheet2!$C$6,IF(AR61&lt;=Sheet2!$D$7,Sheet2!$C$7,IF(AR61&lt;=Sheet2!$D$8,Sheet2!$C$8,IF(AR61&lt;=Sheet2!$D$9,Sheet2!$C$9,IF(AR61&lt;=Sheet2!$D$10,Sheet2!$C$10,IF(AR61&lt;=Sheet2!$D$11,Sheet2!$C$11,0))))))))))</f>
        <v>150</v>
      </c>
      <c r="AT61" s="2">
        <f t="shared" si="9"/>
        <v>150</v>
      </c>
      <c r="AU61" s="38"/>
      <c r="AV61" s="38"/>
      <c r="AW61" s="38"/>
      <c r="AX61" s="38"/>
      <c r="AY61" s="38">
        <f t="shared" si="40"/>
        <v>11.111111111111111</v>
      </c>
      <c r="AZ61" s="39">
        <f t="shared" si="10"/>
        <v>0</v>
      </c>
      <c r="BA61" s="161" t="s">
        <v>375</v>
      </c>
      <c r="BB61" s="31" t="str">
        <f>IF(AR61&lt;=Sheet2!$D$2,Sheet2!$B$2,IF(AR61&lt;=Sheet2!$D$3,Sheet2!$B$3,IF(AR61&lt;=Sheet2!$D$4,Sheet2!$B$4,IF(AR61&lt;=Sheet2!$D$5,Sheet2!$B$5,IF(AR61&lt;=Sheet2!$D$6,Sheet2!$B$6,IF(AR61&lt;=Sheet2!$D$7,Sheet2!$B$7,IF(AR61&lt;=Sheet2!$D$8,Sheet2!$B$8,IF(AR61&lt;=Sheet2!$D$9,Sheet2!$B$9,IF(AR61&lt;=Sheet2!$D$10,Sheet2!$B$10,IF(AR61&lt;=Sheet2!$D$11,Sheet2!$B$11,0))))))))))</f>
        <v>FXSQ20A</v>
      </c>
    </row>
    <row r="62" spans="1:54" ht="13.95" hidden="1" customHeight="1" thickBot="1" x14ac:dyDescent="0.35">
      <c r="A62" t="s">
        <v>284</v>
      </c>
      <c r="B62" s="3">
        <v>58</v>
      </c>
      <c r="C62" s="64" t="s">
        <v>342</v>
      </c>
      <c r="D62" s="13" t="s">
        <v>165</v>
      </c>
      <c r="E62" s="13" t="s">
        <v>183</v>
      </c>
      <c r="F62" s="26" t="s">
        <v>184</v>
      </c>
      <c r="G62" s="14">
        <f>4*5</f>
        <v>20</v>
      </c>
      <c r="H62" s="14">
        <f t="shared" si="58"/>
        <v>20</v>
      </c>
      <c r="I62" s="15">
        <v>12</v>
      </c>
      <c r="J62" s="41"/>
      <c r="K62" s="19">
        <f t="shared" si="36"/>
        <v>12</v>
      </c>
      <c r="L62" s="41">
        <v>0</v>
      </c>
      <c r="M62" s="17">
        <v>0</v>
      </c>
      <c r="N62" s="17">
        <f>VLOOKUP(A62,Data!A:B,2,FALSE)</f>
        <v>50</v>
      </c>
      <c r="O62" s="19">
        <f t="shared" si="59"/>
        <v>0</v>
      </c>
      <c r="P62" s="16">
        <v>26</v>
      </c>
      <c r="Q62" s="14" t="s">
        <v>31</v>
      </c>
      <c r="R62" s="12">
        <f>VLOOKUP(A62,Data!A:D,4,FALSE)</f>
        <v>2.5</v>
      </c>
      <c r="S62" s="17">
        <f>VLOOKUP(A62,Data!A:C,3,FALSE)</f>
        <v>0.3</v>
      </c>
      <c r="T62" s="2">
        <v>2</v>
      </c>
      <c r="U62" s="2">
        <f t="shared" ref="U62" si="61">T62*G62*3/3.6</f>
        <v>33.333333333333336</v>
      </c>
      <c r="V62" s="29">
        <f t="shared" si="21"/>
        <v>35</v>
      </c>
      <c r="W62" s="91"/>
      <c r="X62" s="62"/>
      <c r="Y62" s="34"/>
      <c r="Z62" s="34">
        <f t="shared" ref="Z62" si="62">U62/0.85</f>
        <v>39.215686274509807</v>
      </c>
      <c r="AA62" s="31">
        <f t="shared" si="5"/>
        <v>40</v>
      </c>
      <c r="AB62" s="92">
        <f t="shared" ref="AB62:AB65" si="63">(CEILING(AA62,1))*-1</f>
        <v>-40</v>
      </c>
      <c r="AC62" s="132"/>
      <c r="AD62" s="93" t="str">
        <f t="shared" si="6"/>
        <v>Negative</v>
      </c>
      <c r="AE62" s="107">
        <f t="shared" si="7"/>
        <v>0.3</v>
      </c>
      <c r="AF62" s="106" t="b">
        <f t="shared" si="8"/>
        <v>1</v>
      </c>
      <c r="AG62" s="16"/>
      <c r="AH62" s="17"/>
      <c r="AI62" s="18"/>
      <c r="AJ62" s="20"/>
      <c r="AK62" s="16">
        <f>VLOOKUP(A62,Data!A:F,6,FALSE)</f>
        <v>10</v>
      </c>
      <c r="AL62" s="18">
        <f t="shared" si="39"/>
        <v>0.2</v>
      </c>
      <c r="AM62" s="20">
        <f t="shared" si="60"/>
        <v>0.2</v>
      </c>
      <c r="AN62" s="21"/>
      <c r="AO62" s="22"/>
      <c r="AP62" s="152">
        <v>1</v>
      </c>
      <c r="AQ62" s="152">
        <f t="shared" si="3"/>
        <v>0</v>
      </c>
      <c r="AR62" s="162">
        <v>1.7</v>
      </c>
      <c r="AS62" s="17">
        <f>IF(AR62&lt;=Sheet2!$D$2,Sheet2!$C$2,IF(AR62&lt;=Sheet2!$D$3,Sheet2!$C$3,IF(AR62&lt;=Sheet2!$D$4,Sheet2!$C$4,IF(AR62&lt;=Sheet2!$D$5,Sheet2!$C$5,IF(AR62&lt;=Sheet2!$D$6,Sheet2!$C$6,IF(AR62&lt;=Sheet2!$D$7,Sheet2!$C$7,IF(AR62&lt;=Sheet2!$D$8,Sheet2!$C$8,IF(AR62&lt;=Sheet2!$D$9,Sheet2!$C$9,IF(AR62&lt;=Sheet2!$D$10,Sheet2!$C$10,IF(AR62&lt;=Sheet2!$D$11,Sheet2!$C$11,0))))))))))</f>
        <v>150</v>
      </c>
      <c r="AT62" s="2">
        <f t="shared" si="9"/>
        <v>115</v>
      </c>
      <c r="AU62" s="22"/>
      <c r="AV62" s="22"/>
      <c r="AW62" s="22"/>
      <c r="AX62" s="22"/>
      <c r="AY62" s="22">
        <f t="shared" si="40"/>
        <v>7.5</v>
      </c>
      <c r="AZ62" s="39">
        <f t="shared" si="10"/>
        <v>288.99999999999994</v>
      </c>
      <c r="BA62" s="161" t="s">
        <v>375</v>
      </c>
      <c r="BB62" s="31" t="str">
        <f>IF(AR62&lt;=Sheet2!$D$2,Sheet2!$B$2,IF(AR62&lt;=Sheet2!$D$3,Sheet2!$B$3,IF(AR62&lt;=Sheet2!$D$4,Sheet2!$B$4,IF(AR62&lt;=Sheet2!$D$5,Sheet2!$B$5,IF(AR62&lt;=Sheet2!$D$6,Sheet2!$B$6,IF(AR62&lt;=Sheet2!$D$7,Sheet2!$B$7,IF(AR62&lt;=Sheet2!$D$8,Sheet2!$B$8,IF(AR62&lt;=Sheet2!$D$9,Sheet2!$B$9,IF(AR62&lt;=Sheet2!$D$10,Sheet2!$B$10,IF(AR62&lt;=Sheet2!$D$11,Sheet2!$B$11,0))))))))))</f>
        <v>FXSQ25A</v>
      </c>
    </row>
    <row r="63" spans="1:54" ht="15" hidden="1" thickBot="1" x14ac:dyDescent="0.35">
      <c r="A63" t="s">
        <v>284</v>
      </c>
      <c r="B63" s="3">
        <v>59</v>
      </c>
      <c r="C63" s="64" t="s">
        <v>342</v>
      </c>
      <c r="D63" s="27" t="s">
        <v>173</v>
      </c>
      <c r="E63" s="27" t="s">
        <v>183</v>
      </c>
      <c r="F63" s="28" t="s">
        <v>184</v>
      </c>
      <c r="G63" s="29">
        <f>4*5</f>
        <v>20</v>
      </c>
      <c r="H63" s="47">
        <f t="shared" si="58"/>
        <v>20</v>
      </c>
      <c r="I63" s="30">
        <v>12</v>
      </c>
      <c r="J63" s="42"/>
      <c r="K63" s="49">
        <f t="shared" si="36"/>
        <v>12</v>
      </c>
      <c r="L63" s="42">
        <v>0</v>
      </c>
      <c r="M63" s="2">
        <v>0</v>
      </c>
      <c r="N63" s="2">
        <f>VLOOKUP(A63,Data!A:B,2,FALSE)</f>
        <v>50</v>
      </c>
      <c r="O63" s="31">
        <f t="shared" si="59"/>
        <v>0</v>
      </c>
      <c r="P63" s="32">
        <v>22</v>
      </c>
      <c r="Q63" s="29" t="s">
        <v>31</v>
      </c>
      <c r="R63" s="33">
        <f>VLOOKUP(A63,Data!A:D,4,FALSE)</f>
        <v>2.5</v>
      </c>
      <c r="S63" s="2">
        <f>VLOOKUP(A63,Data!A:C,3,FALSE)</f>
        <v>0.3</v>
      </c>
      <c r="T63" s="2">
        <v>2</v>
      </c>
      <c r="U63" s="2">
        <f t="shared" ref="U63:U65" si="64">T63*G63*3/3.6</f>
        <v>33.333333333333336</v>
      </c>
      <c r="V63" s="29">
        <f t="shared" si="21"/>
        <v>35</v>
      </c>
      <c r="W63" s="91"/>
      <c r="X63" s="62"/>
      <c r="Y63" s="34"/>
      <c r="Z63" s="34">
        <f t="shared" ref="Z63:Z65" si="65">U63/0.85</f>
        <v>39.215686274509807</v>
      </c>
      <c r="AA63" s="31">
        <f t="shared" si="5"/>
        <v>40</v>
      </c>
      <c r="AB63" s="92">
        <f t="shared" si="63"/>
        <v>-40</v>
      </c>
      <c r="AC63" s="132"/>
      <c r="AD63" s="93" t="str">
        <f t="shared" si="6"/>
        <v>Negative</v>
      </c>
      <c r="AE63" s="107">
        <f t="shared" si="7"/>
        <v>0.3</v>
      </c>
      <c r="AF63" s="106" t="b">
        <f t="shared" si="8"/>
        <v>1</v>
      </c>
      <c r="AG63" s="32"/>
      <c r="AH63" s="2"/>
      <c r="AI63" s="35"/>
      <c r="AJ63" s="36"/>
      <c r="AK63" s="32">
        <f>VLOOKUP(A63,Data!A:F,6,FALSE)</f>
        <v>10</v>
      </c>
      <c r="AL63" s="35">
        <f t="shared" si="39"/>
        <v>0.2</v>
      </c>
      <c r="AM63" s="36">
        <f t="shared" si="60"/>
        <v>0.2</v>
      </c>
      <c r="AN63" s="37"/>
      <c r="AO63" s="38"/>
      <c r="AP63" s="151">
        <v>1</v>
      </c>
      <c r="AQ63" s="151">
        <f t="shared" si="3"/>
        <v>0</v>
      </c>
      <c r="AR63" s="161">
        <v>1.7</v>
      </c>
      <c r="AS63" s="2">
        <f>IF(AR63&lt;=Sheet2!$D$2,Sheet2!$C$2,IF(AR63&lt;=Sheet2!$D$3,Sheet2!$C$3,IF(AR63&lt;=Sheet2!$D$4,Sheet2!$C$4,IF(AR63&lt;=Sheet2!$D$5,Sheet2!$C$5,IF(AR63&lt;=Sheet2!$D$6,Sheet2!$C$6,IF(AR63&lt;=Sheet2!$D$7,Sheet2!$C$7,IF(AR63&lt;=Sheet2!$D$8,Sheet2!$C$8,IF(AR63&lt;=Sheet2!$D$9,Sheet2!$C$9,IF(AR63&lt;=Sheet2!$D$10,Sheet2!$C$10,IF(AR63&lt;=Sheet2!$D$11,Sheet2!$C$11,0))))))))))</f>
        <v>150</v>
      </c>
      <c r="AT63" s="2">
        <f t="shared" si="9"/>
        <v>115</v>
      </c>
      <c r="AU63" s="38"/>
      <c r="AV63" s="38"/>
      <c r="AW63" s="38"/>
      <c r="AX63" s="38"/>
      <c r="AY63" s="38">
        <f t="shared" si="40"/>
        <v>7.5</v>
      </c>
      <c r="AZ63" s="39">
        <f t="shared" si="10"/>
        <v>288.99999999999994</v>
      </c>
      <c r="BA63" s="161" t="s">
        <v>375</v>
      </c>
      <c r="BB63" s="31" t="str">
        <f>IF(AR63&lt;=Sheet2!$D$2,Sheet2!$B$2,IF(AR63&lt;=Sheet2!$D$3,Sheet2!$B$3,IF(AR63&lt;=Sheet2!$D$4,Sheet2!$B$4,IF(AR63&lt;=Sheet2!$D$5,Sheet2!$B$5,IF(AR63&lt;=Sheet2!$D$6,Sheet2!$B$6,IF(AR63&lt;=Sheet2!$D$7,Sheet2!$B$7,IF(AR63&lt;=Sheet2!$D$8,Sheet2!$B$8,IF(AR63&lt;=Sheet2!$D$9,Sheet2!$B$9,IF(AR63&lt;=Sheet2!$D$10,Sheet2!$B$10,IF(AR63&lt;=Sheet2!$D$11,Sheet2!$B$11,0))))))))))</f>
        <v>FXSQ25A</v>
      </c>
    </row>
    <row r="64" spans="1:54" ht="13.95" hidden="1" customHeight="1" thickBot="1" x14ac:dyDescent="0.35">
      <c r="A64" t="s">
        <v>284</v>
      </c>
      <c r="B64" s="3">
        <v>60</v>
      </c>
      <c r="C64" s="64" t="s">
        <v>342</v>
      </c>
      <c r="D64" s="13" t="s">
        <v>174</v>
      </c>
      <c r="E64" s="13" t="s">
        <v>183</v>
      </c>
      <c r="F64" s="26" t="s">
        <v>184</v>
      </c>
      <c r="G64" s="14">
        <f>4*5</f>
        <v>20</v>
      </c>
      <c r="H64" s="14">
        <f t="shared" si="58"/>
        <v>20</v>
      </c>
      <c r="I64" s="15">
        <v>12</v>
      </c>
      <c r="J64" s="41"/>
      <c r="K64" s="19">
        <f t="shared" si="36"/>
        <v>12</v>
      </c>
      <c r="L64" s="41">
        <v>0</v>
      </c>
      <c r="M64" s="17">
        <v>0</v>
      </c>
      <c r="N64" s="17">
        <f>VLOOKUP(A64,Data!A:B,2,FALSE)</f>
        <v>50</v>
      </c>
      <c r="O64" s="19">
        <f t="shared" si="59"/>
        <v>0</v>
      </c>
      <c r="P64" s="16">
        <v>22</v>
      </c>
      <c r="Q64" s="14" t="s">
        <v>31</v>
      </c>
      <c r="R64" s="12">
        <f>VLOOKUP(A64,Data!A:D,4,FALSE)</f>
        <v>2.5</v>
      </c>
      <c r="S64" s="17">
        <f>VLOOKUP(A64,Data!A:C,3,FALSE)</f>
        <v>0.3</v>
      </c>
      <c r="T64" s="2">
        <v>2</v>
      </c>
      <c r="U64" s="2">
        <f t="shared" si="64"/>
        <v>33.333333333333336</v>
      </c>
      <c r="V64" s="29">
        <f t="shared" si="21"/>
        <v>35</v>
      </c>
      <c r="W64" s="91"/>
      <c r="X64" s="62"/>
      <c r="Y64" s="34"/>
      <c r="Z64" s="34">
        <f t="shared" si="65"/>
        <v>39.215686274509807</v>
      </c>
      <c r="AA64" s="31">
        <f t="shared" si="5"/>
        <v>40</v>
      </c>
      <c r="AB64" s="92">
        <f t="shared" si="63"/>
        <v>-40</v>
      </c>
      <c r="AC64" s="132"/>
      <c r="AD64" s="93" t="str">
        <f t="shared" si="6"/>
        <v>Negative</v>
      </c>
      <c r="AE64" s="107">
        <f t="shared" si="7"/>
        <v>0.3</v>
      </c>
      <c r="AF64" s="106" t="b">
        <f t="shared" si="8"/>
        <v>1</v>
      </c>
      <c r="AG64" s="16"/>
      <c r="AH64" s="17"/>
      <c r="AI64" s="18"/>
      <c r="AJ64" s="20"/>
      <c r="AK64" s="16">
        <f>VLOOKUP(A64,Data!A:F,6,FALSE)</f>
        <v>10</v>
      </c>
      <c r="AL64" s="18">
        <f t="shared" si="39"/>
        <v>0.2</v>
      </c>
      <c r="AM64" s="20">
        <f t="shared" si="60"/>
        <v>0.2</v>
      </c>
      <c r="AN64" s="21"/>
      <c r="AO64" s="22"/>
      <c r="AP64" s="152">
        <v>1</v>
      </c>
      <c r="AQ64" s="152">
        <f t="shared" si="3"/>
        <v>0</v>
      </c>
      <c r="AR64" s="162">
        <v>1.7</v>
      </c>
      <c r="AS64" s="17">
        <f>IF(AR64&lt;=Sheet2!$D$2,Sheet2!$C$2,IF(AR64&lt;=Sheet2!$D$3,Sheet2!$C$3,IF(AR64&lt;=Sheet2!$D$4,Sheet2!$C$4,IF(AR64&lt;=Sheet2!$D$5,Sheet2!$C$5,IF(AR64&lt;=Sheet2!$D$6,Sheet2!$C$6,IF(AR64&lt;=Sheet2!$D$7,Sheet2!$C$7,IF(AR64&lt;=Sheet2!$D$8,Sheet2!$C$8,IF(AR64&lt;=Sheet2!$D$9,Sheet2!$C$9,IF(AR64&lt;=Sheet2!$D$10,Sheet2!$C$10,IF(AR64&lt;=Sheet2!$D$11,Sheet2!$C$11,0))))))))))</f>
        <v>150</v>
      </c>
      <c r="AT64" s="2">
        <f t="shared" si="9"/>
        <v>115</v>
      </c>
      <c r="AU64" s="22"/>
      <c r="AV64" s="22"/>
      <c r="AW64" s="22"/>
      <c r="AX64" s="22"/>
      <c r="AY64" s="22">
        <f t="shared" si="40"/>
        <v>7.5</v>
      </c>
      <c r="AZ64" s="39">
        <f t="shared" si="10"/>
        <v>288.99999999999994</v>
      </c>
      <c r="BA64" s="161" t="s">
        <v>375</v>
      </c>
      <c r="BB64" s="31" t="str">
        <f>IF(AR64&lt;=Sheet2!$D$2,Sheet2!$B$2,IF(AR64&lt;=Sheet2!$D$3,Sheet2!$B$3,IF(AR64&lt;=Sheet2!$D$4,Sheet2!$B$4,IF(AR64&lt;=Sheet2!$D$5,Sheet2!$B$5,IF(AR64&lt;=Sheet2!$D$6,Sheet2!$B$6,IF(AR64&lt;=Sheet2!$D$7,Sheet2!$B$7,IF(AR64&lt;=Sheet2!$D$8,Sheet2!$B$8,IF(AR64&lt;=Sheet2!$D$9,Sheet2!$B$9,IF(AR64&lt;=Sheet2!$D$10,Sheet2!$B$10,IF(AR64&lt;=Sheet2!$D$11,Sheet2!$B$11,0))))))))))</f>
        <v>FXSQ25A</v>
      </c>
    </row>
    <row r="65" spans="1:56" ht="15" hidden="1" thickBot="1" x14ac:dyDescent="0.35">
      <c r="A65" t="s">
        <v>284</v>
      </c>
      <c r="B65" s="3">
        <v>61</v>
      </c>
      <c r="C65" s="64" t="s">
        <v>342</v>
      </c>
      <c r="D65" s="27" t="s">
        <v>175</v>
      </c>
      <c r="E65" s="27" t="s">
        <v>183</v>
      </c>
      <c r="F65" s="28" t="s">
        <v>184</v>
      </c>
      <c r="G65" s="29">
        <f>4*5</f>
        <v>20</v>
      </c>
      <c r="H65" s="47">
        <f t="shared" ref="H65" si="66">G65</f>
        <v>20</v>
      </c>
      <c r="I65" s="30">
        <v>12</v>
      </c>
      <c r="J65" s="42"/>
      <c r="K65" s="49">
        <f t="shared" si="36"/>
        <v>12</v>
      </c>
      <c r="L65" s="42">
        <v>0</v>
      </c>
      <c r="M65" s="2">
        <v>0</v>
      </c>
      <c r="N65" s="2">
        <f>VLOOKUP(A65,Data!A:B,2,FALSE)</f>
        <v>50</v>
      </c>
      <c r="O65" s="31">
        <f t="shared" ref="O65:O66" si="67">L65</f>
        <v>0</v>
      </c>
      <c r="P65" s="32">
        <v>22</v>
      </c>
      <c r="Q65" s="29" t="s">
        <v>31</v>
      </c>
      <c r="R65" s="33">
        <f>VLOOKUP(A65,Data!A:D,4,FALSE)</f>
        <v>2.5</v>
      </c>
      <c r="S65" s="2">
        <f>VLOOKUP(A65,Data!A:C,3,FALSE)</f>
        <v>0.3</v>
      </c>
      <c r="T65" s="2">
        <v>2</v>
      </c>
      <c r="U65" s="2">
        <f t="shared" si="64"/>
        <v>33.333333333333336</v>
      </c>
      <c r="V65" s="29">
        <f t="shared" si="21"/>
        <v>35</v>
      </c>
      <c r="W65" s="91"/>
      <c r="X65" s="62"/>
      <c r="Y65" s="34"/>
      <c r="Z65" s="34">
        <f t="shared" si="65"/>
        <v>39.215686274509807</v>
      </c>
      <c r="AA65" s="31">
        <f t="shared" si="5"/>
        <v>40</v>
      </c>
      <c r="AB65" s="92">
        <f t="shared" si="63"/>
        <v>-40</v>
      </c>
      <c r="AC65" s="132"/>
      <c r="AD65" s="93" t="str">
        <f t="shared" si="6"/>
        <v>Negative</v>
      </c>
      <c r="AE65" s="107">
        <f t="shared" si="7"/>
        <v>0.3</v>
      </c>
      <c r="AF65" s="106" t="b">
        <f t="shared" si="8"/>
        <v>1</v>
      </c>
      <c r="AG65" s="32"/>
      <c r="AH65" s="2"/>
      <c r="AI65" s="35"/>
      <c r="AJ65" s="36"/>
      <c r="AK65" s="32">
        <f>VLOOKUP(A65,Data!A:F,6,FALSE)</f>
        <v>10</v>
      </c>
      <c r="AL65" s="35">
        <f t="shared" si="39"/>
        <v>0.2</v>
      </c>
      <c r="AM65" s="36">
        <f t="shared" ref="AM65:AM66" si="68">AL65</f>
        <v>0.2</v>
      </c>
      <c r="AN65" s="37"/>
      <c r="AO65" s="38"/>
      <c r="AP65" s="151">
        <v>1</v>
      </c>
      <c r="AQ65" s="151">
        <f t="shared" si="3"/>
        <v>0</v>
      </c>
      <c r="AR65" s="161">
        <v>1.7</v>
      </c>
      <c r="AS65" s="2">
        <f>IF(AR65&lt;=Sheet2!$D$2,Sheet2!$C$2,IF(AR65&lt;=Sheet2!$D$3,Sheet2!$C$3,IF(AR65&lt;=Sheet2!$D$4,Sheet2!$C$4,IF(AR65&lt;=Sheet2!$D$5,Sheet2!$C$5,IF(AR65&lt;=Sheet2!$D$6,Sheet2!$C$6,IF(AR65&lt;=Sheet2!$D$7,Sheet2!$C$7,IF(AR65&lt;=Sheet2!$D$8,Sheet2!$C$8,IF(AR65&lt;=Sheet2!$D$9,Sheet2!$C$9,IF(AR65&lt;=Sheet2!$D$10,Sheet2!$C$10,IF(AR65&lt;=Sheet2!$D$11,Sheet2!$C$11,0))))))))))</f>
        <v>150</v>
      </c>
      <c r="AT65" s="2">
        <f t="shared" si="9"/>
        <v>115</v>
      </c>
      <c r="AU65" s="38"/>
      <c r="AV65" s="38"/>
      <c r="AW65" s="38"/>
      <c r="AX65" s="38"/>
      <c r="AY65" s="38">
        <f t="shared" si="40"/>
        <v>7.5</v>
      </c>
      <c r="AZ65" s="39">
        <f t="shared" si="10"/>
        <v>288.99999999999994</v>
      </c>
      <c r="BA65" s="161" t="s">
        <v>375</v>
      </c>
      <c r="BB65" s="31" t="str">
        <f>IF(AR65&lt;=Sheet2!$D$2,Sheet2!$B$2,IF(AR65&lt;=Sheet2!$D$3,Sheet2!$B$3,IF(AR65&lt;=Sheet2!$D$4,Sheet2!$B$4,IF(AR65&lt;=Sheet2!$D$5,Sheet2!$B$5,IF(AR65&lt;=Sheet2!$D$6,Sheet2!$B$6,IF(AR65&lt;=Sheet2!$D$7,Sheet2!$B$7,IF(AR65&lt;=Sheet2!$D$8,Sheet2!$B$8,IF(AR65&lt;=Sheet2!$D$9,Sheet2!$B$9,IF(AR65&lt;=Sheet2!$D$10,Sheet2!$B$10,IF(AR65&lt;=Sheet2!$D$11,Sheet2!$B$11,0))))))))))</f>
        <v>FXSQ25A</v>
      </c>
    </row>
    <row r="66" spans="1:56" ht="14.4" hidden="1" customHeight="1" thickBot="1" x14ac:dyDescent="0.35">
      <c r="A66" t="s">
        <v>9</v>
      </c>
      <c r="B66" s="3">
        <v>62</v>
      </c>
      <c r="C66" s="64" t="s">
        <v>345</v>
      </c>
      <c r="D66" s="13" t="s">
        <v>176</v>
      </c>
      <c r="E66" s="13" t="s">
        <v>141</v>
      </c>
      <c r="F66" s="26" t="s">
        <v>140</v>
      </c>
      <c r="G66" s="14">
        <f>3.8*2.5</f>
        <v>9.5</v>
      </c>
      <c r="H66" s="14">
        <f t="shared" ref="H66:H71" si="69">G66</f>
        <v>9.5</v>
      </c>
      <c r="I66" s="15">
        <v>1</v>
      </c>
      <c r="J66" s="41"/>
      <c r="K66" s="19">
        <f t="shared" si="36"/>
        <v>1</v>
      </c>
      <c r="L66" s="41">
        <v>0</v>
      </c>
      <c r="M66" s="17">
        <v>0</v>
      </c>
      <c r="N66" s="17">
        <f>VLOOKUP(A66,Data!A:B,2,FALSE)</f>
        <v>5</v>
      </c>
      <c r="O66" s="19">
        <f t="shared" si="67"/>
        <v>0</v>
      </c>
      <c r="P66" s="16">
        <v>22</v>
      </c>
      <c r="Q66" s="14" t="s">
        <v>31</v>
      </c>
      <c r="R66" s="12">
        <f>VLOOKUP(A66,Data!A:D,4,FALSE)</f>
        <v>2.5</v>
      </c>
      <c r="S66" s="17">
        <f>VLOOKUP(A66,Data!A:C,3,FALSE)</f>
        <v>0.3</v>
      </c>
      <c r="T66" s="17"/>
      <c r="U66" s="17">
        <f t="shared" si="57"/>
        <v>5.35</v>
      </c>
      <c r="V66" s="29">
        <f t="shared" si="21"/>
        <v>10</v>
      </c>
      <c r="W66" s="91"/>
      <c r="X66" s="62"/>
      <c r="Y66" s="34"/>
      <c r="Z66" s="34">
        <f t="shared" si="38"/>
        <v>8.5</v>
      </c>
      <c r="AA66" s="31">
        <f t="shared" si="5"/>
        <v>9</v>
      </c>
      <c r="AB66" s="92"/>
      <c r="AC66" s="1">
        <v>-7</v>
      </c>
      <c r="AD66" s="93" t="str">
        <f t="shared" si="6"/>
        <v>Positive</v>
      </c>
      <c r="AE66" s="107">
        <f t="shared" si="7"/>
        <v>0.38</v>
      </c>
      <c r="AF66" s="106" t="b">
        <f t="shared" si="8"/>
        <v>1</v>
      </c>
      <c r="AG66" s="16"/>
      <c r="AH66" s="17"/>
      <c r="AI66" s="18"/>
      <c r="AJ66" s="20"/>
      <c r="AK66" s="16">
        <f>VLOOKUP(A66,Data!A:F,6,FALSE)</f>
        <v>10</v>
      </c>
      <c r="AL66" s="18">
        <f t="shared" si="39"/>
        <v>9.5000000000000001E-2</v>
      </c>
      <c r="AM66" s="20">
        <f t="shared" si="68"/>
        <v>9.5000000000000001E-2</v>
      </c>
      <c r="AN66" s="21"/>
      <c r="AO66" s="22"/>
      <c r="AP66" s="152">
        <v>1</v>
      </c>
      <c r="AQ66" s="152">
        <f t="shared" si="3"/>
        <v>0</v>
      </c>
      <c r="AR66" s="162">
        <v>2.1</v>
      </c>
      <c r="AS66" s="17">
        <f>IF(AR66&lt;=Sheet2!$D$2,Sheet2!$C$2,IF(AR66&lt;=Sheet2!$D$3,Sheet2!$C$3,IF(AR66&lt;=Sheet2!$D$4,Sheet2!$C$4,IF(AR66&lt;=Sheet2!$D$5,Sheet2!$C$5,IF(AR66&lt;=Sheet2!$D$6,Sheet2!$C$6,IF(AR66&lt;=Sheet2!$D$7,Sheet2!$C$7,IF(AR66&lt;=Sheet2!$D$8,Sheet2!$C$8,IF(AR66&lt;=Sheet2!$D$9,Sheet2!$C$9,IF(AR66&lt;=Sheet2!$D$10,Sheet2!$C$10,IF(AR66&lt;=Sheet2!$D$11,Sheet2!$C$11,0))))))))))</f>
        <v>158</v>
      </c>
      <c r="AT66" s="2">
        <f t="shared" si="9"/>
        <v>148</v>
      </c>
      <c r="AU66" s="22"/>
      <c r="AV66" s="22"/>
      <c r="AW66" s="22"/>
      <c r="AX66" s="22"/>
      <c r="AY66" s="22">
        <f t="shared" si="40"/>
        <v>16.631578947368421</v>
      </c>
      <c r="AZ66" s="39">
        <f t="shared" si="10"/>
        <v>751.57894736842115</v>
      </c>
      <c r="BA66" s="161" t="s">
        <v>375</v>
      </c>
      <c r="BB66" s="31" t="str">
        <f>IF(AR66&lt;=Sheet2!$D$2,Sheet2!$B$2,IF(AR66&lt;=Sheet2!$D$3,Sheet2!$B$3,IF(AR66&lt;=Sheet2!$D$4,Sheet2!$B$4,IF(AR66&lt;=Sheet2!$D$5,Sheet2!$B$5,IF(AR66&lt;=Sheet2!$D$6,Sheet2!$B$6,IF(AR66&lt;=Sheet2!$D$7,Sheet2!$B$7,IF(AR66&lt;=Sheet2!$D$8,Sheet2!$B$8,IF(AR66&lt;=Sheet2!$D$9,Sheet2!$B$9,IF(AR66&lt;=Sheet2!$D$10,Sheet2!$B$10,IF(AR66&lt;=Sheet2!$D$11,Sheet2!$B$11,0))))))))))</f>
        <v>FXSQ32A</v>
      </c>
    </row>
    <row r="67" spans="1:56" ht="15" hidden="1" thickBot="1" x14ac:dyDescent="0.35">
      <c r="A67" t="s">
        <v>9</v>
      </c>
      <c r="B67" s="3">
        <v>63</v>
      </c>
      <c r="C67" s="64" t="s">
        <v>345</v>
      </c>
      <c r="D67" s="27" t="s">
        <v>177</v>
      </c>
      <c r="E67" s="27" t="s">
        <v>185</v>
      </c>
      <c r="F67" s="28" t="s">
        <v>186</v>
      </c>
      <c r="G67" s="29">
        <f>2.5*4.45</f>
        <v>11.125</v>
      </c>
      <c r="H67" s="47">
        <f t="shared" si="69"/>
        <v>11.125</v>
      </c>
      <c r="I67" s="30">
        <v>1</v>
      </c>
      <c r="J67" s="42"/>
      <c r="K67" s="49">
        <f t="shared" si="36"/>
        <v>1</v>
      </c>
      <c r="L67" s="42">
        <v>0</v>
      </c>
      <c r="M67" s="2">
        <v>0</v>
      </c>
      <c r="N67" s="2">
        <f>VLOOKUP(A67,Data!A:B,2,FALSE)</f>
        <v>5</v>
      </c>
      <c r="O67" s="31">
        <f t="shared" ref="O67:O72" si="70">L67</f>
        <v>0</v>
      </c>
      <c r="P67" s="32">
        <v>22</v>
      </c>
      <c r="Q67" s="29" t="s">
        <v>31</v>
      </c>
      <c r="R67" s="33">
        <f>VLOOKUP(A67,Data!A:D,4,FALSE)</f>
        <v>2.5</v>
      </c>
      <c r="S67" s="2">
        <f>VLOOKUP(A67,Data!A:C,3,FALSE)</f>
        <v>0.3</v>
      </c>
      <c r="T67" s="2"/>
      <c r="U67" s="2">
        <f t="shared" si="57"/>
        <v>5.8375000000000004</v>
      </c>
      <c r="V67" s="29">
        <f t="shared" si="21"/>
        <v>10</v>
      </c>
      <c r="W67" s="91"/>
      <c r="X67" s="62"/>
      <c r="Y67" s="34"/>
      <c r="Z67" s="34">
        <f t="shared" si="38"/>
        <v>8.5</v>
      </c>
      <c r="AA67" s="31">
        <f t="shared" si="5"/>
        <v>9</v>
      </c>
      <c r="AB67" s="92"/>
      <c r="AC67" s="1">
        <v>-7</v>
      </c>
      <c r="AD67" s="93" t="str">
        <f t="shared" si="6"/>
        <v>Positive</v>
      </c>
      <c r="AE67" s="107">
        <f t="shared" si="7"/>
        <v>0.32</v>
      </c>
      <c r="AF67" s="106" t="b">
        <f t="shared" si="8"/>
        <v>1</v>
      </c>
      <c r="AG67" s="32"/>
      <c r="AH67" s="2"/>
      <c r="AI67" s="35"/>
      <c r="AJ67" s="36"/>
      <c r="AK67" s="32">
        <f>VLOOKUP(A67,Data!A:F,6,FALSE)</f>
        <v>10</v>
      </c>
      <c r="AL67" s="35">
        <f t="shared" si="39"/>
        <v>0.11125</v>
      </c>
      <c r="AM67" s="36">
        <f t="shared" ref="AM67:AM72" si="71">AL67</f>
        <v>0.11125</v>
      </c>
      <c r="AN67" s="37"/>
      <c r="AO67" s="38"/>
      <c r="AP67" s="151">
        <v>1</v>
      </c>
      <c r="AQ67" s="151">
        <f t="shared" si="3"/>
        <v>0</v>
      </c>
      <c r="AR67" s="161">
        <v>2.4</v>
      </c>
      <c r="AS67" s="2">
        <f>IF(AR67&lt;=Sheet2!$D$2,Sheet2!$C$2,IF(AR67&lt;=Sheet2!$D$3,Sheet2!$C$3,IF(AR67&lt;=Sheet2!$D$4,Sheet2!$C$4,IF(AR67&lt;=Sheet2!$D$5,Sheet2!$C$5,IF(AR67&lt;=Sheet2!$D$6,Sheet2!$C$6,IF(AR67&lt;=Sheet2!$D$7,Sheet2!$C$7,IF(AR67&lt;=Sheet2!$D$8,Sheet2!$C$8,IF(AR67&lt;=Sheet2!$D$9,Sheet2!$C$9,IF(AR67&lt;=Sheet2!$D$10,Sheet2!$C$10,IF(AR67&lt;=Sheet2!$D$11,Sheet2!$C$11,0))))))))))</f>
        <v>158</v>
      </c>
      <c r="AT67" s="2">
        <f t="shared" si="9"/>
        <v>148</v>
      </c>
      <c r="AU67" s="38"/>
      <c r="AV67" s="38"/>
      <c r="AW67" s="38"/>
      <c r="AX67" s="38"/>
      <c r="AY67" s="38">
        <f t="shared" si="40"/>
        <v>14.202247191011235</v>
      </c>
      <c r="AZ67" s="39">
        <f t="shared" si="10"/>
        <v>733.48314606741576</v>
      </c>
      <c r="BA67" s="161" t="s">
        <v>373</v>
      </c>
      <c r="BB67" s="31" t="str">
        <f>IF(AR67&lt;=Sheet2!$D$2,Sheet2!$B$2,IF(AR67&lt;=Sheet2!$D$3,Sheet2!$B$3,IF(AR67&lt;=Sheet2!$D$4,Sheet2!$B$4,IF(AR67&lt;=Sheet2!$D$5,Sheet2!$B$5,IF(AR67&lt;=Sheet2!$D$6,Sheet2!$B$6,IF(AR67&lt;=Sheet2!$D$7,Sheet2!$B$7,IF(AR67&lt;=Sheet2!$D$8,Sheet2!$B$8,IF(AR67&lt;=Sheet2!$D$9,Sheet2!$B$9,IF(AR67&lt;=Sheet2!$D$10,Sheet2!$B$10,IF(AR67&lt;=Sheet2!$D$11,Sheet2!$B$11,0))))))))))</f>
        <v>FXSQ32A</v>
      </c>
    </row>
    <row r="68" spans="1:56" ht="13.95" hidden="1" customHeight="1" thickBot="1" x14ac:dyDescent="0.35">
      <c r="A68" t="s">
        <v>9</v>
      </c>
      <c r="B68" s="3">
        <v>64</v>
      </c>
      <c r="C68" s="64" t="s">
        <v>345</v>
      </c>
      <c r="D68" s="13" t="s">
        <v>178</v>
      </c>
      <c r="E68" s="13" t="s">
        <v>194</v>
      </c>
      <c r="F68" s="26" t="s">
        <v>187</v>
      </c>
      <c r="G68" s="14">
        <f>8.2*4.5</f>
        <v>36.9</v>
      </c>
      <c r="H68" s="14">
        <f t="shared" si="69"/>
        <v>36.9</v>
      </c>
      <c r="I68" s="15">
        <v>14</v>
      </c>
      <c r="J68" s="41"/>
      <c r="K68" s="19">
        <f t="shared" si="36"/>
        <v>14</v>
      </c>
      <c r="L68" s="41">
        <v>0</v>
      </c>
      <c r="M68" s="17">
        <v>0</v>
      </c>
      <c r="N68" s="17">
        <f>VLOOKUP(A68,Data!A:B,2,FALSE)</f>
        <v>5</v>
      </c>
      <c r="O68" s="19">
        <f t="shared" si="70"/>
        <v>0</v>
      </c>
      <c r="P68" s="16">
        <v>26</v>
      </c>
      <c r="Q68" s="14" t="s">
        <v>31</v>
      </c>
      <c r="R68" s="12">
        <f>VLOOKUP(A68,Data!A:D,4,FALSE)</f>
        <v>2.5</v>
      </c>
      <c r="S68" s="17">
        <f>VLOOKUP(A68,Data!A:C,3,FALSE)</f>
        <v>0.3</v>
      </c>
      <c r="T68" s="17"/>
      <c r="U68" s="17">
        <f t="shared" si="57"/>
        <v>46.07</v>
      </c>
      <c r="V68" s="29">
        <f t="shared" si="21"/>
        <v>50</v>
      </c>
      <c r="W68" s="91"/>
      <c r="X68" s="62"/>
      <c r="Y68" s="34"/>
      <c r="Z68" s="34">
        <f t="shared" si="38"/>
        <v>42.5</v>
      </c>
      <c r="AA68" s="31">
        <f t="shared" si="5"/>
        <v>43</v>
      </c>
      <c r="AB68" s="92"/>
      <c r="AC68" s="1">
        <v>-40</v>
      </c>
      <c r="AD68" s="93" t="str">
        <f t="shared" si="6"/>
        <v>Positive</v>
      </c>
      <c r="AE68" s="107">
        <f t="shared" si="7"/>
        <v>0.33</v>
      </c>
      <c r="AF68" s="106" t="b">
        <f t="shared" si="8"/>
        <v>1</v>
      </c>
      <c r="AG68" s="16"/>
      <c r="AH68" s="17"/>
      <c r="AI68" s="18"/>
      <c r="AJ68" s="20"/>
      <c r="AK68" s="16">
        <f>VLOOKUP(A68,Data!A:F,6,FALSE)</f>
        <v>10</v>
      </c>
      <c r="AL68" s="18">
        <f t="shared" si="39"/>
        <v>0.36899999999999999</v>
      </c>
      <c r="AM68" s="20">
        <f t="shared" si="71"/>
        <v>0.36899999999999999</v>
      </c>
      <c r="AN68" s="21"/>
      <c r="AO68" s="22"/>
      <c r="AP68" s="152">
        <v>1</v>
      </c>
      <c r="AQ68" s="152">
        <f t="shared" si="3"/>
        <v>0</v>
      </c>
      <c r="AR68" s="162">
        <v>2.5</v>
      </c>
      <c r="AS68" s="17">
        <f>IF(AR68&lt;=Sheet2!$D$2,Sheet2!$C$2,IF(AR68&lt;=Sheet2!$D$3,Sheet2!$C$3,IF(AR68&lt;=Sheet2!$D$4,Sheet2!$C$4,IF(AR68&lt;=Sheet2!$D$5,Sheet2!$C$5,IF(AR68&lt;=Sheet2!$D$6,Sheet2!$C$6,IF(AR68&lt;=Sheet2!$D$7,Sheet2!$C$7,IF(AR68&lt;=Sheet2!$D$8,Sheet2!$C$8,IF(AR68&lt;=Sheet2!$D$9,Sheet2!$C$9,IF(AR68&lt;=Sheet2!$D$10,Sheet2!$C$10,IF(AR68&lt;=Sheet2!$D$11,Sheet2!$C$11,0))))))))))</f>
        <v>250</v>
      </c>
      <c r="AT68" s="2">
        <f t="shared" si="9"/>
        <v>200</v>
      </c>
      <c r="AU68" s="22"/>
      <c r="AV68" s="22"/>
      <c r="AW68" s="22"/>
      <c r="AX68" s="22"/>
      <c r="AY68" s="22">
        <f t="shared" si="40"/>
        <v>6.7750677506775068</v>
      </c>
      <c r="AZ68" s="39">
        <f t="shared" si="10"/>
        <v>230.35230352303526</v>
      </c>
      <c r="BA68" s="161" t="s">
        <v>373</v>
      </c>
      <c r="BB68" s="31" t="str">
        <f>IF(AR68&lt;=Sheet2!$D$2,Sheet2!$B$2,IF(AR68&lt;=Sheet2!$D$3,Sheet2!$B$3,IF(AR68&lt;=Sheet2!$D$4,Sheet2!$B$4,IF(AR68&lt;=Sheet2!$D$5,Sheet2!$B$5,IF(AR68&lt;=Sheet2!$D$6,Sheet2!$B$6,IF(AR68&lt;=Sheet2!$D$7,Sheet2!$B$7,IF(AR68&lt;=Sheet2!$D$8,Sheet2!$B$8,IF(AR68&lt;=Sheet2!$D$9,Sheet2!$B$9,IF(AR68&lt;=Sheet2!$D$10,Sheet2!$B$10,IF(AR68&lt;=Sheet2!$D$11,Sheet2!$B$11,0))))))))))</f>
        <v>FXSQ40A</v>
      </c>
    </row>
    <row r="69" spans="1:56" ht="15" hidden="1" thickBot="1" x14ac:dyDescent="0.35">
      <c r="A69" t="s">
        <v>9</v>
      </c>
      <c r="B69" s="3">
        <v>65</v>
      </c>
      <c r="C69" s="64" t="s">
        <v>345</v>
      </c>
      <c r="D69" s="27" t="s">
        <v>179</v>
      </c>
      <c r="E69" s="27" t="s">
        <v>192</v>
      </c>
      <c r="F69" s="28" t="s">
        <v>188</v>
      </c>
      <c r="G69" s="29">
        <f>5*3.4</f>
        <v>17</v>
      </c>
      <c r="H69" s="47">
        <f t="shared" si="69"/>
        <v>17</v>
      </c>
      <c r="I69" s="30">
        <v>8</v>
      </c>
      <c r="J69" s="42"/>
      <c r="K69" s="49">
        <f t="shared" si="36"/>
        <v>8</v>
      </c>
      <c r="L69" s="42">
        <v>0</v>
      </c>
      <c r="M69" s="2">
        <v>0</v>
      </c>
      <c r="N69" s="2">
        <f>VLOOKUP(A69,Data!A:B,2,FALSE)</f>
        <v>5</v>
      </c>
      <c r="O69" s="31">
        <f t="shared" si="70"/>
        <v>0</v>
      </c>
      <c r="P69" s="32">
        <v>22</v>
      </c>
      <c r="Q69" s="29" t="s">
        <v>31</v>
      </c>
      <c r="R69" s="33">
        <f>VLOOKUP(A69,Data!A:D,4,FALSE)</f>
        <v>2.5</v>
      </c>
      <c r="S69" s="2">
        <f>VLOOKUP(A69,Data!A:C,3,FALSE)</f>
        <v>0.3</v>
      </c>
      <c r="T69" s="2"/>
      <c r="U69" s="2">
        <f t="shared" si="57"/>
        <v>25.1</v>
      </c>
      <c r="V69" s="29">
        <f t="shared" si="21"/>
        <v>30</v>
      </c>
      <c r="W69" s="91"/>
      <c r="X69" s="62"/>
      <c r="Y69" s="34"/>
      <c r="Z69" s="34">
        <f t="shared" si="38"/>
        <v>25.5</v>
      </c>
      <c r="AA69" s="31">
        <f t="shared" si="5"/>
        <v>26</v>
      </c>
      <c r="AB69" s="92"/>
      <c r="AC69" s="1">
        <v>-25</v>
      </c>
      <c r="AD69" s="93" t="str">
        <f t="shared" si="6"/>
        <v>Positive</v>
      </c>
      <c r="AE69" s="107">
        <f t="shared" si="7"/>
        <v>0.35</v>
      </c>
      <c r="AF69" s="106" t="b">
        <f t="shared" si="8"/>
        <v>1</v>
      </c>
      <c r="AG69" s="32"/>
      <c r="AH69" s="2"/>
      <c r="AI69" s="35"/>
      <c r="AJ69" s="36"/>
      <c r="AK69" s="32">
        <f>VLOOKUP(A69,Data!A:F,6,FALSE)</f>
        <v>10</v>
      </c>
      <c r="AL69" s="35">
        <f t="shared" ref="AL69:AL76" si="72">AK69*G69/1000</f>
        <v>0.17</v>
      </c>
      <c r="AM69" s="36">
        <f t="shared" si="71"/>
        <v>0.17</v>
      </c>
      <c r="AN69" s="37"/>
      <c r="AO69" s="38"/>
      <c r="AP69" s="151">
        <v>1</v>
      </c>
      <c r="AQ69" s="151">
        <f t="shared" ref="AQ69:AQ108" si="73">AO69/AP69</f>
        <v>0</v>
      </c>
      <c r="AR69" s="161">
        <v>1.2</v>
      </c>
      <c r="AS69" s="2">
        <f>IF(AR69&lt;=Sheet2!$D$2,Sheet2!$C$2,IF(AR69&lt;=Sheet2!$D$3,Sheet2!$C$3,IF(AR69&lt;=Sheet2!$D$4,Sheet2!$C$4,IF(AR69&lt;=Sheet2!$D$5,Sheet2!$C$5,IF(AR69&lt;=Sheet2!$D$6,Sheet2!$C$6,IF(AR69&lt;=Sheet2!$D$7,Sheet2!$C$7,IF(AR69&lt;=Sheet2!$D$8,Sheet2!$C$8,IF(AR69&lt;=Sheet2!$D$9,Sheet2!$C$9,IF(AR69&lt;=Sheet2!$D$10,Sheet2!$C$10,IF(AR69&lt;=Sheet2!$D$11,Sheet2!$C$11,0))))))))))</f>
        <v>150</v>
      </c>
      <c r="AT69" s="2">
        <f t="shared" si="9"/>
        <v>120</v>
      </c>
      <c r="AU69" s="38"/>
      <c r="AV69" s="38"/>
      <c r="AW69" s="38"/>
      <c r="AX69" s="38"/>
      <c r="AY69" s="38">
        <f t="shared" ref="AY69:AY100" si="74">AS69/H69</f>
        <v>8.8235294117647065</v>
      </c>
      <c r="AZ69" s="39">
        <f t="shared" si="10"/>
        <v>240</v>
      </c>
      <c r="BA69" s="161" t="s">
        <v>373</v>
      </c>
      <c r="BB69" s="31" t="str">
        <f>IF(AR69&lt;=Sheet2!$D$2,Sheet2!$B$2,IF(AR69&lt;=Sheet2!$D$3,Sheet2!$B$3,IF(AR69&lt;=Sheet2!$D$4,Sheet2!$B$4,IF(AR69&lt;=Sheet2!$D$5,Sheet2!$B$5,IF(AR69&lt;=Sheet2!$D$6,Sheet2!$B$6,IF(AR69&lt;=Sheet2!$D$7,Sheet2!$B$7,IF(AR69&lt;=Sheet2!$D$8,Sheet2!$B$8,IF(AR69&lt;=Sheet2!$D$9,Sheet2!$B$9,IF(AR69&lt;=Sheet2!$D$10,Sheet2!$B$10,IF(AR69&lt;=Sheet2!$D$11,Sheet2!$B$11,0))))))))))</f>
        <v>FXSQ20A</v>
      </c>
    </row>
    <row r="70" spans="1:56" ht="13.95" hidden="1" customHeight="1" thickBot="1" x14ac:dyDescent="0.35">
      <c r="A70" t="s">
        <v>9</v>
      </c>
      <c r="B70" s="3">
        <v>66</v>
      </c>
      <c r="C70" s="64" t="s">
        <v>345</v>
      </c>
      <c r="D70" s="13" t="s">
        <v>180</v>
      </c>
      <c r="E70" s="13" t="s">
        <v>193</v>
      </c>
      <c r="F70" s="26" t="s">
        <v>189</v>
      </c>
      <c r="G70" s="14">
        <f>3*3.4</f>
        <v>10.199999999999999</v>
      </c>
      <c r="H70" s="14">
        <f t="shared" si="69"/>
        <v>10.199999999999999</v>
      </c>
      <c r="I70" s="15">
        <v>4</v>
      </c>
      <c r="J70" s="41"/>
      <c r="K70" s="19">
        <f t="shared" si="36"/>
        <v>4</v>
      </c>
      <c r="L70" s="41">
        <v>0</v>
      </c>
      <c r="M70" s="17">
        <v>0</v>
      </c>
      <c r="N70" s="17">
        <f>VLOOKUP(A70,Data!A:B,2,FALSE)</f>
        <v>5</v>
      </c>
      <c r="O70" s="19">
        <f t="shared" si="70"/>
        <v>0</v>
      </c>
      <c r="P70" s="16">
        <v>22</v>
      </c>
      <c r="Q70" s="14" t="s">
        <v>31</v>
      </c>
      <c r="R70" s="12">
        <f>VLOOKUP(A70,Data!A:D,4,FALSE)</f>
        <v>2.5</v>
      </c>
      <c r="S70" s="17">
        <f>VLOOKUP(A70,Data!A:C,3,FALSE)</f>
        <v>0.3</v>
      </c>
      <c r="T70" s="17"/>
      <c r="U70" s="17">
        <f t="shared" si="57"/>
        <v>13.059999999999999</v>
      </c>
      <c r="V70" s="29">
        <f t="shared" ref="V70:V76" si="75">CEILING(U70,5)</f>
        <v>15</v>
      </c>
      <c r="W70" s="91"/>
      <c r="X70" s="62"/>
      <c r="Y70" s="34"/>
      <c r="Z70" s="34">
        <f>0.85*V70</f>
        <v>12.75</v>
      </c>
      <c r="AA70" s="31">
        <f t="shared" ref="AA70:AA95" si="76">CEILING(Z70,1)</f>
        <v>13</v>
      </c>
      <c r="AB70" s="92"/>
      <c r="AC70" s="1">
        <v>-10</v>
      </c>
      <c r="AD70" s="93" t="str">
        <f t="shared" ref="AD70:AD115" si="77">IF(V70+W70+AB70 &gt; 0, "Positive", IF(V70-+W70+AB70 &lt; 0, "Negative", "Neutral"))</f>
        <v>Positive</v>
      </c>
      <c r="AE70" s="107">
        <f t="shared" ref="AE70:AE117" si="78">ROUND(ABS((V70+AB70+W70+AC70)*3.6)/(G70*3),2)</f>
        <v>0.59</v>
      </c>
      <c r="AF70" s="106" t="b">
        <f t="shared" ref="AF70:AF117" si="79">AND(AE70&gt;=0.3,AE70&lt;=0.8)</f>
        <v>1</v>
      </c>
      <c r="AG70" s="16"/>
      <c r="AH70" s="17"/>
      <c r="AI70" s="18"/>
      <c r="AJ70" s="20"/>
      <c r="AK70" s="16">
        <f>VLOOKUP(A70,Data!A:F,6,FALSE)</f>
        <v>10</v>
      </c>
      <c r="AL70" s="18">
        <f t="shared" si="72"/>
        <v>0.10199999999999999</v>
      </c>
      <c r="AM70" s="20">
        <f t="shared" si="71"/>
        <v>0.10199999999999999</v>
      </c>
      <c r="AN70" s="21"/>
      <c r="AO70" s="22"/>
      <c r="AP70" s="152">
        <v>1</v>
      </c>
      <c r="AQ70" s="152">
        <f t="shared" si="73"/>
        <v>0</v>
      </c>
      <c r="AR70" s="162">
        <v>0.8</v>
      </c>
      <c r="AS70" s="17">
        <f>IF(AR70&lt;=Sheet2!$D$2,Sheet2!$C$2,IF(AR70&lt;=Sheet2!$D$3,Sheet2!$C$3,IF(AR70&lt;=Sheet2!$D$4,Sheet2!$C$4,IF(AR70&lt;=Sheet2!$D$5,Sheet2!$C$5,IF(AR70&lt;=Sheet2!$D$6,Sheet2!$C$6,IF(AR70&lt;=Sheet2!$D$7,Sheet2!$C$7,IF(AR70&lt;=Sheet2!$D$8,Sheet2!$C$8,IF(AR70&lt;=Sheet2!$D$9,Sheet2!$C$9,IF(AR70&lt;=Sheet2!$D$10,Sheet2!$C$10,IF(AR70&lt;=Sheet2!$D$11,Sheet2!$C$11,0))))))))))</f>
        <v>150</v>
      </c>
      <c r="AT70" s="2">
        <f t="shared" ref="AT70:AT117" si="80">AS70-V70</f>
        <v>135</v>
      </c>
      <c r="AU70" s="22"/>
      <c r="AV70" s="22"/>
      <c r="AW70" s="22"/>
      <c r="AX70" s="22"/>
      <c r="AY70" s="22">
        <f t="shared" si="74"/>
        <v>14.705882352941178</v>
      </c>
      <c r="AZ70" s="39">
        <f t="shared" ref="AZ70:AZ115" si="81">(AR70/H70*1000)*3.4</f>
        <v>266.66666666666674</v>
      </c>
      <c r="BA70" s="161" t="s">
        <v>373</v>
      </c>
      <c r="BB70" s="31" t="str">
        <f>IF(AR70&lt;=Sheet2!$D$2,Sheet2!$B$2,IF(AR70&lt;=Sheet2!$D$3,Sheet2!$B$3,IF(AR70&lt;=Sheet2!$D$4,Sheet2!$B$4,IF(AR70&lt;=Sheet2!$D$5,Sheet2!$B$5,IF(AR70&lt;=Sheet2!$D$6,Sheet2!$B$6,IF(AR70&lt;=Sheet2!$D$7,Sheet2!$B$7,IF(AR70&lt;=Sheet2!$D$8,Sheet2!$B$8,IF(AR70&lt;=Sheet2!$D$9,Sheet2!$B$9,IF(AR70&lt;=Sheet2!$D$10,Sheet2!$B$10,IF(AR70&lt;=Sheet2!$D$11,Sheet2!$B$11,0))))))))))</f>
        <v>FXSQ20A</v>
      </c>
    </row>
    <row r="71" spans="1:56" ht="15" hidden="1" thickBot="1" x14ac:dyDescent="0.35">
      <c r="A71" t="s">
        <v>9</v>
      </c>
      <c r="B71" s="3">
        <v>67</v>
      </c>
      <c r="C71" s="64" t="s">
        <v>345</v>
      </c>
      <c r="D71" s="27" t="s">
        <v>181</v>
      </c>
      <c r="E71" s="27" t="s">
        <v>191</v>
      </c>
      <c r="F71" s="28" t="s">
        <v>190</v>
      </c>
      <c r="G71" s="29">
        <f>4.05*3</f>
        <v>12.149999999999999</v>
      </c>
      <c r="H71" s="47">
        <f t="shared" si="69"/>
        <v>12.149999999999999</v>
      </c>
      <c r="I71" s="30">
        <v>1</v>
      </c>
      <c r="J71" s="42"/>
      <c r="K71" s="49">
        <f t="shared" si="36"/>
        <v>1</v>
      </c>
      <c r="L71" s="42">
        <v>0</v>
      </c>
      <c r="M71" s="2">
        <v>0</v>
      </c>
      <c r="N71" s="2">
        <f>VLOOKUP(A71,Data!A:B,2,FALSE)</f>
        <v>5</v>
      </c>
      <c r="O71" s="31">
        <f t="shared" si="70"/>
        <v>0</v>
      </c>
      <c r="P71" s="32">
        <v>22</v>
      </c>
      <c r="Q71" s="29" t="s">
        <v>31</v>
      </c>
      <c r="R71" s="33">
        <f>VLOOKUP(A71,Data!A:D,4,FALSE)</f>
        <v>2.5</v>
      </c>
      <c r="S71" s="2">
        <f>VLOOKUP(A71,Data!A:C,3,FALSE)</f>
        <v>0.3</v>
      </c>
      <c r="T71" s="2"/>
      <c r="U71" s="2">
        <f t="shared" si="57"/>
        <v>6.1449999999999996</v>
      </c>
      <c r="V71" s="29">
        <f t="shared" si="75"/>
        <v>10</v>
      </c>
      <c r="W71" s="91"/>
      <c r="X71" s="62"/>
      <c r="Y71" s="34"/>
      <c r="Z71" s="34">
        <f>0.85*V71</f>
        <v>8.5</v>
      </c>
      <c r="AA71" s="31">
        <f t="shared" si="76"/>
        <v>9</v>
      </c>
      <c r="AB71" s="92"/>
      <c r="AC71" s="1">
        <v>-7</v>
      </c>
      <c r="AD71" s="93" t="str">
        <f t="shared" si="77"/>
        <v>Positive</v>
      </c>
      <c r="AE71" s="107">
        <f t="shared" si="78"/>
        <v>0.3</v>
      </c>
      <c r="AF71" s="106" t="b">
        <f t="shared" si="79"/>
        <v>1</v>
      </c>
      <c r="AG71" s="32"/>
      <c r="AH71" s="2"/>
      <c r="AI71" s="35"/>
      <c r="AJ71" s="36"/>
      <c r="AK71" s="32">
        <f>VLOOKUP(A71,Data!A:F,6,FALSE)</f>
        <v>10</v>
      </c>
      <c r="AL71" s="35">
        <f t="shared" si="72"/>
        <v>0.12149999999999998</v>
      </c>
      <c r="AM71" s="36">
        <f t="shared" si="71"/>
        <v>0.12149999999999998</v>
      </c>
      <c r="AN71" s="37"/>
      <c r="AO71" s="38"/>
      <c r="AP71" s="151">
        <v>1</v>
      </c>
      <c r="AQ71" s="151">
        <f t="shared" si="73"/>
        <v>0</v>
      </c>
      <c r="AR71" s="161">
        <v>0.9</v>
      </c>
      <c r="AS71" s="2">
        <f>IF(AR71&lt;=Sheet2!$D$2,Sheet2!$C$2,IF(AR71&lt;=Sheet2!$D$3,Sheet2!$C$3,IF(AR71&lt;=Sheet2!$D$4,Sheet2!$C$4,IF(AR71&lt;=Sheet2!$D$5,Sheet2!$C$5,IF(AR71&lt;=Sheet2!$D$6,Sheet2!$C$6,IF(AR71&lt;=Sheet2!$D$7,Sheet2!$C$7,IF(AR71&lt;=Sheet2!$D$8,Sheet2!$C$8,IF(AR71&lt;=Sheet2!$D$9,Sheet2!$C$9,IF(AR71&lt;=Sheet2!$D$10,Sheet2!$C$10,IF(AR71&lt;=Sheet2!$D$11,Sheet2!$C$11,0))))))))))</f>
        <v>150</v>
      </c>
      <c r="AT71" s="2">
        <f t="shared" si="80"/>
        <v>140</v>
      </c>
      <c r="AU71" s="38"/>
      <c r="AV71" s="38"/>
      <c r="AW71" s="38"/>
      <c r="AX71" s="38"/>
      <c r="AY71" s="38">
        <f t="shared" si="74"/>
        <v>12.345679012345681</v>
      </c>
      <c r="AZ71" s="39">
        <f t="shared" si="81"/>
        <v>251.8518518518519</v>
      </c>
      <c r="BA71" s="161" t="s">
        <v>373</v>
      </c>
      <c r="BB71" s="31" t="str">
        <f>IF(AR71&lt;=Sheet2!$D$2,Sheet2!$B$2,IF(AR71&lt;=Sheet2!$D$3,Sheet2!$B$3,IF(AR71&lt;=Sheet2!$D$4,Sheet2!$B$4,IF(AR71&lt;=Sheet2!$D$5,Sheet2!$B$5,IF(AR71&lt;=Sheet2!$D$6,Sheet2!$B$6,IF(AR71&lt;=Sheet2!$D$7,Sheet2!$B$7,IF(AR71&lt;=Sheet2!$D$8,Sheet2!$B$8,IF(AR71&lt;=Sheet2!$D$9,Sheet2!$B$9,IF(AR71&lt;=Sheet2!$D$10,Sheet2!$B$10,IF(AR71&lt;=Sheet2!$D$11,Sheet2!$B$11,0))))))))))</f>
        <v>FXSQ20A</v>
      </c>
    </row>
    <row r="72" spans="1:56" ht="13.95" hidden="1" customHeight="1" thickBot="1" x14ac:dyDescent="0.35">
      <c r="A72" t="s">
        <v>9</v>
      </c>
      <c r="B72" s="3">
        <v>68</v>
      </c>
      <c r="C72" s="64" t="s">
        <v>345</v>
      </c>
      <c r="D72" s="13" t="s">
        <v>182</v>
      </c>
      <c r="E72" s="13" t="s">
        <v>191</v>
      </c>
      <c r="F72" s="26" t="s">
        <v>190</v>
      </c>
      <c r="G72" s="14">
        <f>4.05*3</f>
        <v>12.149999999999999</v>
      </c>
      <c r="H72" s="14">
        <f t="shared" ref="H72:H115" si="82">G72</f>
        <v>12.149999999999999</v>
      </c>
      <c r="I72" s="15">
        <v>1</v>
      </c>
      <c r="J72" s="41"/>
      <c r="K72" s="19">
        <f t="shared" si="36"/>
        <v>1</v>
      </c>
      <c r="L72" s="41">
        <v>0</v>
      </c>
      <c r="M72" s="17">
        <v>0</v>
      </c>
      <c r="N72" s="17">
        <f>VLOOKUP(A72,Data!A:B,2,FALSE)</f>
        <v>5</v>
      </c>
      <c r="O72" s="19">
        <f t="shared" si="70"/>
        <v>0</v>
      </c>
      <c r="P72" s="16">
        <v>22</v>
      </c>
      <c r="Q72" s="14" t="s">
        <v>31</v>
      </c>
      <c r="R72" s="12">
        <f>VLOOKUP(A72,Data!A:D,4,FALSE)</f>
        <v>2.5</v>
      </c>
      <c r="S72" s="17">
        <f>VLOOKUP(A72,Data!A:C,3,FALSE)</f>
        <v>0.3</v>
      </c>
      <c r="T72" s="17"/>
      <c r="U72" s="17">
        <f t="shared" si="57"/>
        <v>6.1449999999999996</v>
      </c>
      <c r="V72" s="29">
        <f t="shared" si="75"/>
        <v>10</v>
      </c>
      <c r="W72" s="91"/>
      <c r="X72" s="62"/>
      <c r="Y72" s="34"/>
      <c r="Z72" s="34">
        <f>0.85*V72</f>
        <v>8.5</v>
      </c>
      <c r="AA72" s="31">
        <f t="shared" si="76"/>
        <v>9</v>
      </c>
      <c r="AB72" s="92"/>
      <c r="AC72" s="1">
        <v>-7</v>
      </c>
      <c r="AD72" s="93" t="str">
        <f t="shared" si="77"/>
        <v>Positive</v>
      </c>
      <c r="AE72" s="107">
        <f t="shared" si="78"/>
        <v>0.3</v>
      </c>
      <c r="AF72" s="106" t="b">
        <f t="shared" si="79"/>
        <v>1</v>
      </c>
      <c r="AG72" s="16"/>
      <c r="AH72" s="17"/>
      <c r="AI72" s="18"/>
      <c r="AJ72" s="20"/>
      <c r="AK72" s="16">
        <f>VLOOKUP(A72,Data!A:F,6,FALSE)</f>
        <v>10</v>
      </c>
      <c r="AL72" s="18">
        <f t="shared" si="72"/>
        <v>0.12149999999999998</v>
      </c>
      <c r="AM72" s="20">
        <f t="shared" si="71"/>
        <v>0.12149999999999998</v>
      </c>
      <c r="AN72" s="21"/>
      <c r="AO72" s="22"/>
      <c r="AP72" s="152">
        <v>1</v>
      </c>
      <c r="AQ72" s="152">
        <f t="shared" si="73"/>
        <v>0</v>
      </c>
      <c r="AR72" s="162">
        <v>0.9</v>
      </c>
      <c r="AS72" s="17">
        <f>IF(AR72&lt;=Sheet2!$D$2,Sheet2!$C$2,IF(AR72&lt;=Sheet2!$D$3,Sheet2!$C$3,IF(AR72&lt;=Sheet2!$D$4,Sheet2!$C$4,IF(AR72&lt;=Sheet2!$D$5,Sheet2!$C$5,IF(AR72&lt;=Sheet2!$D$6,Sheet2!$C$6,IF(AR72&lt;=Sheet2!$D$7,Sheet2!$C$7,IF(AR72&lt;=Sheet2!$D$8,Sheet2!$C$8,IF(AR72&lt;=Sheet2!$D$9,Sheet2!$C$9,IF(AR72&lt;=Sheet2!$D$10,Sheet2!$C$10,IF(AR72&lt;=Sheet2!$D$11,Sheet2!$C$11,0))))))))))</f>
        <v>150</v>
      </c>
      <c r="AT72" s="2">
        <f t="shared" si="80"/>
        <v>140</v>
      </c>
      <c r="AU72" s="22"/>
      <c r="AV72" s="22"/>
      <c r="AW72" s="22"/>
      <c r="AX72" s="22"/>
      <c r="AY72" s="22">
        <f t="shared" si="74"/>
        <v>12.345679012345681</v>
      </c>
      <c r="AZ72" s="39">
        <f t="shared" si="81"/>
        <v>251.8518518518519</v>
      </c>
      <c r="BA72" s="161" t="s">
        <v>373</v>
      </c>
      <c r="BB72" s="31" t="str">
        <f>IF(AR72&lt;=Sheet2!$D$2,Sheet2!$B$2,IF(AR72&lt;=Sheet2!$D$3,Sheet2!$B$3,IF(AR72&lt;=Sheet2!$D$4,Sheet2!$B$4,IF(AR72&lt;=Sheet2!$D$5,Sheet2!$B$5,IF(AR72&lt;=Sheet2!$D$6,Sheet2!$B$6,IF(AR72&lt;=Sheet2!$D$7,Sheet2!$B$7,IF(AR72&lt;=Sheet2!$D$8,Sheet2!$B$8,IF(AR72&lt;=Sheet2!$D$9,Sheet2!$B$9,IF(AR72&lt;=Sheet2!$D$10,Sheet2!$B$10,IF(AR72&lt;=Sheet2!$D$11,Sheet2!$B$11,0))))))))))</f>
        <v>FXSQ20A</v>
      </c>
    </row>
    <row r="73" spans="1:56" ht="15" hidden="1" thickBot="1" x14ac:dyDescent="0.35">
      <c r="A73" t="s">
        <v>44</v>
      </c>
      <c r="B73" s="3">
        <v>69</v>
      </c>
      <c r="C73" s="64" t="s">
        <v>345</v>
      </c>
      <c r="D73" s="27" t="s">
        <v>289</v>
      </c>
      <c r="E73" s="27" t="s">
        <v>287</v>
      </c>
      <c r="F73" s="28"/>
      <c r="G73" s="29">
        <v>67.5</v>
      </c>
      <c r="H73" s="47">
        <f t="shared" si="82"/>
        <v>67.5</v>
      </c>
      <c r="I73" s="30">
        <v>5</v>
      </c>
      <c r="J73" s="42"/>
      <c r="K73" s="49">
        <f t="shared" si="36"/>
        <v>5</v>
      </c>
      <c r="L73" s="42">
        <v>0</v>
      </c>
      <c r="M73" s="2">
        <v>0</v>
      </c>
      <c r="N73" s="2">
        <f>VLOOKUP(A73,Data!A:B,2,FALSE)</f>
        <v>10</v>
      </c>
      <c r="O73" s="31">
        <f t="shared" ref="O73" si="83">L73</f>
        <v>0</v>
      </c>
      <c r="P73" s="32">
        <v>22</v>
      </c>
      <c r="Q73" s="29" t="s">
        <v>31</v>
      </c>
      <c r="R73" s="33">
        <f>VLOOKUP(A73,Data!A:D,4,FALSE)</f>
        <v>2.5</v>
      </c>
      <c r="S73" s="2">
        <f>VLOOKUP(A73,Data!A:C,3,FALSE)</f>
        <v>0.3</v>
      </c>
      <c r="T73" s="2"/>
      <c r="U73" s="2">
        <f t="shared" si="57"/>
        <v>32.75</v>
      </c>
      <c r="V73" s="29">
        <f t="shared" si="75"/>
        <v>35</v>
      </c>
      <c r="W73" s="91"/>
      <c r="X73" s="62"/>
      <c r="Y73" s="34"/>
      <c r="Z73" s="34">
        <f>0.85*V73+8.5</f>
        <v>38.25</v>
      </c>
      <c r="AA73" s="31">
        <v>30</v>
      </c>
      <c r="AB73" s="92"/>
      <c r="AC73" s="1">
        <v>-15</v>
      </c>
      <c r="AD73" s="93" t="str">
        <f t="shared" si="77"/>
        <v>Positive</v>
      </c>
      <c r="AE73" s="107">
        <f t="shared" si="78"/>
        <v>0.36</v>
      </c>
      <c r="AF73" s="106" t="b">
        <f t="shared" si="79"/>
        <v>1</v>
      </c>
      <c r="AG73" s="32"/>
      <c r="AH73" s="2"/>
      <c r="AI73" s="35"/>
      <c r="AJ73" s="36"/>
      <c r="AK73" s="32">
        <f>VLOOKUP(A73,Data!A:F,6,FALSE)</f>
        <v>10</v>
      </c>
      <c r="AL73" s="35">
        <f t="shared" si="72"/>
        <v>0.67500000000000004</v>
      </c>
      <c r="AM73" s="36">
        <f t="shared" ref="AM73" si="84">AL73</f>
        <v>0.67500000000000004</v>
      </c>
      <c r="AN73" s="37"/>
      <c r="AO73" s="38"/>
      <c r="AP73" s="151">
        <v>1</v>
      </c>
      <c r="AQ73" s="151">
        <f t="shared" si="73"/>
        <v>0</v>
      </c>
      <c r="AR73" s="161">
        <v>3</v>
      </c>
      <c r="AS73" s="2">
        <f>IF(AR73&lt;=Sheet2!$D$2,Sheet2!$C$2,IF(AR73&lt;=Sheet2!$D$3,Sheet2!$C$3,IF(AR73&lt;=Sheet2!$D$4,Sheet2!$C$4,IF(AR73&lt;=Sheet2!$D$5,Sheet2!$C$5,IF(AR73&lt;=Sheet2!$D$6,Sheet2!$C$6,IF(AR73&lt;=Sheet2!$D$7,Sheet2!$C$7,IF(AR73&lt;=Sheet2!$D$8,Sheet2!$C$8,IF(AR73&lt;=Sheet2!$D$9,Sheet2!$C$9,IF(AR73&lt;=Sheet2!$D$10,Sheet2!$C$10,IF(AR73&lt;=Sheet2!$D$11,Sheet2!$C$11,0))))))))))</f>
        <v>250</v>
      </c>
      <c r="AT73" s="2">
        <f t="shared" si="80"/>
        <v>215</v>
      </c>
      <c r="AU73" s="38"/>
      <c r="AV73" s="38"/>
      <c r="AW73" s="38"/>
      <c r="AX73" s="38"/>
      <c r="AY73" s="38">
        <f t="shared" si="74"/>
        <v>3.7037037037037037</v>
      </c>
      <c r="AZ73" s="39">
        <f t="shared" si="81"/>
        <v>151.11111111111111</v>
      </c>
      <c r="BA73" s="161" t="s">
        <v>374</v>
      </c>
      <c r="BB73" s="31" t="str">
        <f>IF(AR73&lt;=Sheet2!$D$2,Sheet2!$B$2,IF(AR73&lt;=Sheet2!$D$3,Sheet2!$B$3,IF(AR73&lt;=Sheet2!$D$4,Sheet2!$B$4,IF(AR73&lt;=Sheet2!$D$5,Sheet2!$B$5,IF(AR73&lt;=Sheet2!$D$6,Sheet2!$B$6,IF(AR73&lt;=Sheet2!$D$7,Sheet2!$B$7,IF(AR73&lt;=Sheet2!$D$8,Sheet2!$B$8,IF(AR73&lt;=Sheet2!$D$9,Sheet2!$B$9,IF(AR73&lt;=Sheet2!$D$10,Sheet2!$B$10,IF(AR73&lt;=Sheet2!$D$11,Sheet2!$B$11,0))))))))))</f>
        <v>FXSQ40A</v>
      </c>
    </row>
    <row r="74" spans="1:56" ht="13.95" hidden="1" customHeight="1" thickBot="1" x14ac:dyDescent="0.35">
      <c r="A74" t="s">
        <v>44</v>
      </c>
      <c r="B74" s="3">
        <v>70</v>
      </c>
      <c r="C74" s="64" t="s">
        <v>345</v>
      </c>
      <c r="D74" s="13" t="s">
        <v>288</v>
      </c>
      <c r="E74" s="13" t="s">
        <v>287</v>
      </c>
      <c r="F74" s="26"/>
      <c r="G74" s="14">
        <v>67.5</v>
      </c>
      <c r="H74" s="14">
        <f t="shared" ref="H74:H77" si="85">G74</f>
        <v>67.5</v>
      </c>
      <c r="I74" s="15">
        <v>5</v>
      </c>
      <c r="J74" s="41"/>
      <c r="K74" s="19">
        <f t="shared" si="36"/>
        <v>5</v>
      </c>
      <c r="L74" s="41">
        <v>0</v>
      </c>
      <c r="M74" s="17">
        <v>0</v>
      </c>
      <c r="N74" s="17">
        <f>VLOOKUP(A74,Data!A:B,2,FALSE)</f>
        <v>10</v>
      </c>
      <c r="O74" s="19">
        <f t="shared" ref="O74:O75" si="86">L74</f>
        <v>0</v>
      </c>
      <c r="P74" s="16">
        <v>22</v>
      </c>
      <c r="Q74" s="14" t="s">
        <v>31</v>
      </c>
      <c r="R74" s="12">
        <f>VLOOKUP(A74,Data!A:D,4,FALSE)</f>
        <v>2.5</v>
      </c>
      <c r="S74" s="17">
        <f>VLOOKUP(A74,Data!A:C,3,FALSE)</f>
        <v>0.3</v>
      </c>
      <c r="T74" s="17"/>
      <c r="U74" s="17">
        <f t="shared" si="57"/>
        <v>32.75</v>
      </c>
      <c r="V74" s="29">
        <f t="shared" si="75"/>
        <v>35</v>
      </c>
      <c r="W74" s="91"/>
      <c r="X74" s="62"/>
      <c r="Y74" s="34"/>
      <c r="Z74" s="34">
        <f>0.85*V74+8.5</f>
        <v>38.25</v>
      </c>
      <c r="AA74" s="31">
        <v>30</v>
      </c>
      <c r="AB74" s="92"/>
      <c r="AC74" s="1">
        <v>-15</v>
      </c>
      <c r="AD74" s="93" t="str">
        <f t="shared" si="77"/>
        <v>Positive</v>
      </c>
      <c r="AE74" s="107">
        <f t="shared" si="78"/>
        <v>0.36</v>
      </c>
      <c r="AF74" s="106" t="b">
        <f t="shared" si="79"/>
        <v>1</v>
      </c>
      <c r="AG74" s="16"/>
      <c r="AH74" s="17"/>
      <c r="AI74" s="18"/>
      <c r="AJ74" s="20"/>
      <c r="AK74" s="16">
        <f>VLOOKUP(A74,Data!A:F,6,FALSE)</f>
        <v>10</v>
      </c>
      <c r="AL74" s="18">
        <f t="shared" si="72"/>
        <v>0.67500000000000004</v>
      </c>
      <c r="AM74" s="20">
        <f t="shared" ref="AM74:AM75" si="87">AL74</f>
        <v>0.67500000000000004</v>
      </c>
      <c r="AN74" s="21"/>
      <c r="AO74" s="22"/>
      <c r="AP74" s="152">
        <v>1</v>
      </c>
      <c r="AQ74" s="152">
        <f t="shared" si="73"/>
        <v>0</v>
      </c>
      <c r="AR74" s="162">
        <v>2.9</v>
      </c>
      <c r="AS74" s="17">
        <f>IF(AR74&lt;=Sheet2!$D$2,Sheet2!$C$2,IF(AR74&lt;=Sheet2!$D$3,Sheet2!$C$3,IF(AR74&lt;=Sheet2!$D$4,Sheet2!$C$4,IF(AR74&lt;=Sheet2!$D$5,Sheet2!$C$5,IF(AR74&lt;=Sheet2!$D$6,Sheet2!$C$6,IF(AR74&lt;=Sheet2!$D$7,Sheet2!$C$7,IF(AR74&lt;=Sheet2!$D$8,Sheet2!$C$8,IF(AR74&lt;=Sheet2!$D$9,Sheet2!$C$9,IF(AR74&lt;=Sheet2!$D$10,Sheet2!$C$10,IF(AR74&lt;=Sheet2!$D$11,Sheet2!$C$11,0))))))))))</f>
        <v>250</v>
      </c>
      <c r="AT74" s="2">
        <f t="shared" si="80"/>
        <v>215</v>
      </c>
      <c r="AU74" s="22"/>
      <c r="AV74" s="22"/>
      <c r="AW74" s="22"/>
      <c r="AX74" s="22"/>
      <c r="AY74" s="22">
        <f t="shared" si="74"/>
        <v>3.7037037037037037</v>
      </c>
      <c r="AZ74" s="39">
        <f t="shared" si="81"/>
        <v>146.07407407407408</v>
      </c>
      <c r="BA74" s="161" t="s">
        <v>374</v>
      </c>
      <c r="BB74" s="31" t="str">
        <f>IF(AR74&lt;=Sheet2!$D$2,Sheet2!$B$2,IF(AR74&lt;=Sheet2!$D$3,Sheet2!$B$3,IF(AR74&lt;=Sheet2!$D$4,Sheet2!$B$4,IF(AR74&lt;=Sheet2!$D$5,Sheet2!$B$5,IF(AR74&lt;=Sheet2!$D$6,Sheet2!$B$6,IF(AR74&lt;=Sheet2!$D$7,Sheet2!$B$7,IF(AR74&lt;=Sheet2!$D$8,Sheet2!$B$8,IF(AR74&lt;=Sheet2!$D$9,Sheet2!$B$9,IF(AR74&lt;=Sheet2!$D$10,Sheet2!$B$10,IF(AR74&lt;=Sheet2!$D$11,Sheet2!$B$11,0))))))))))</f>
        <v>FXSQ40A</v>
      </c>
    </row>
    <row r="75" spans="1:56" ht="15" hidden="1" thickBot="1" x14ac:dyDescent="0.35">
      <c r="A75" t="s">
        <v>8</v>
      </c>
      <c r="B75" s="3">
        <v>71</v>
      </c>
      <c r="C75" s="64" t="s">
        <v>345</v>
      </c>
      <c r="D75" s="27" t="s">
        <v>291</v>
      </c>
      <c r="E75" s="27" t="s">
        <v>290</v>
      </c>
      <c r="F75" s="28"/>
      <c r="G75" s="29">
        <v>167</v>
      </c>
      <c r="H75" s="47">
        <f t="shared" si="85"/>
        <v>167</v>
      </c>
      <c r="I75" s="30">
        <v>0</v>
      </c>
      <c r="J75" s="42"/>
      <c r="K75" s="49">
        <f t="shared" si="36"/>
        <v>0</v>
      </c>
      <c r="L75" s="42">
        <v>0</v>
      </c>
      <c r="M75" s="2">
        <v>0</v>
      </c>
      <c r="N75" s="2">
        <f>VLOOKUP(A75,Data!A:B,2,FALSE)</f>
        <v>0</v>
      </c>
      <c r="O75" s="31">
        <f t="shared" si="86"/>
        <v>0</v>
      </c>
      <c r="P75" s="32">
        <v>22</v>
      </c>
      <c r="Q75" s="29" t="s">
        <v>31</v>
      </c>
      <c r="R75" s="33">
        <f>VLOOKUP(A75,Data!A:D,4,FALSE)</f>
        <v>0</v>
      </c>
      <c r="S75" s="2">
        <f>VLOOKUP(A75,Data!A:C,3,FALSE)</f>
        <v>0.3</v>
      </c>
      <c r="T75" s="2"/>
      <c r="U75" s="2">
        <f t="shared" si="57"/>
        <v>50.1</v>
      </c>
      <c r="V75" s="29">
        <f t="shared" si="75"/>
        <v>55</v>
      </c>
      <c r="W75" s="91"/>
      <c r="X75" s="62"/>
      <c r="Y75" s="34"/>
      <c r="Z75" s="34">
        <f>0.85*V75+8.5*2</f>
        <v>63.75</v>
      </c>
      <c r="AA75" s="31">
        <v>50</v>
      </c>
      <c r="AB75" s="92"/>
      <c r="AD75" s="93" t="str">
        <f t="shared" si="77"/>
        <v>Positive</v>
      </c>
      <c r="AE75" s="107">
        <f t="shared" si="78"/>
        <v>0.4</v>
      </c>
      <c r="AF75" s="106" t="b">
        <f t="shared" si="79"/>
        <v>1</v>
      </c>
      <c r="AG75" s="32"/>
      <c r="AH75" s="2"/>
      <c r="AI75" s="35"/>
      <c r="AJ75" s="36"/>
      <c r="AK75" s="32">
        <f>VLOOKUP(A75,Data!A:F,6,FALSE)</f>
        <v>10</v>
      </c>
      <c r="AL75" s="35">
        <f t="shared" si="72"/>
        <v>1.67</v>
      </c>
      <c r="AM75" s="36">
        <f t="shared" si="87"/>
        <v>1.67</v>
      </c>
      <c r="AN75" s="37"/>
      <c r="AO75" s="38"/>
      <c r="AP75" s="151">
        <v>1</v>
      </c>
      <c r="AQ75" s="151">
        <f t="shared" si="73"/>
        <v>0</v>
      </c>
      <c r="AR75" s="161">
        <v>14.5</v>
      </c>
      <c r="AS75" s="2">
        <f>IF(AR75&lt;=Sheet2!$D$2,Sheet2!$C$2,IF(AR75&lt;=Sheet2!$D$3,Sheet2!$C$3,IF(AR75&lt;=Sheet2!$D$4,Sheet2!$C$4,IF(AR75&lt;=Sheet2!$D$5,Sheet2!$C$5,IF(AR75&lt;=Sheet2!$D$6,Sheet2!$C$6,IF(AR75&lt;=Sheet2!$D$7,Sheet2!$C$7,IF(AR75&lt;=Sheet2!$D$8,Sheet2!$C$8,IF(AR75&lt;=Sheet2!$D$9,Sheet2!$C$9,IF(AR75&lt;=Sheet2!$D$10,Sheet2!$C$10,IF(AR75&lt;=Sheet2!$D$11,Sheet2!$C$11,0))))))))))</f>
        <v>0</v>
      </c>
      <c r="AT75" s="2">
        <f t="shared" si="80"/>
        <v>-55</v>
      </c>
      <c r="AU75" s="38"/>
      <c r="AV75" s="38"/>
      <c r="AW75" s="38"/>
      <c r="AX75" s="38"/>
      <c r="AY75" s="38">
        <f t="shared" si="74"/>
        <v>0</v>
      </c>
      <c r="AZ75" s="39">
        <f t="shared" si="81"/>
        <v>295.20958083832335</v>
      </c>
      <c r="BA75" s="161" t="s">
        <v>374</v>
      </c>
      <c r="BB75" s="31">
        <f>IF(AR75&lt;=Sheet2!$D$2,Sheet2!$B$2,IF(AR75&lt;=Sheet2!$D$3,Sheet2!$B$3,IF(AR75&lt;=Sheet2!$D$4,Sheet2!$B$4,IF(AR75&lt;=Sheet2!$D$5,Sheet2!$B$5,IF(AR75&lt;=Sheet2!$D$6,Sheet2!$B$6,IF(AR75&lt;=Sheet2!$D$7,Sheet2!$B$7,IF(AR75&lt;=Sheet2!$D$8,Sheet2!$B$8,IF(AR75&lt;=Sheet2!$D$9,Sheet2!$B$9,IF(AR75&lt;=Sheet2!$D$10,Sheet2!$B$10,IF(AR75&lt;=Sheet2!$D$11,Sheet2!$B$11,0))))))))))</f>
        <v>0</v>
      </c>
      <c r="BD75" t="s">
        <v>370</v>
      </c>
    </row>
    <row r="76" spans="1:56" ht="13.95" hidden="1" customHeight="1" thickBot="1" x14ac:dyDescent="0.35">
      <c r="A76" t="s">
        <v>44</v>
      </c>
      <c r="B76" s="3">
        <v>70</v>
      </c>
      <c r="C76" s="64" t="s">
        <v>345</v>
      </c>
      <c r="D76" s="13" t="s">
        <v>292</v>
      </c>
      <c r="E76" s="13" t="s">
        <v>293</v>
      </c>
      <c r="F76" s="26"/>
      <c r="G76" s="14">
        <v>124</v>
      </c>
      <c r="H76" s="14">
        <f t="shared" si="85"/>
        <v>124</v>
      </c>
      <c r="I76" s="15">
        <v>32</v>
      </c>
      <c r="J76" s="41"/>
      <c r="K76" s="19">
        <v>32</v>
      </c>
      <c r="L76" s="41">
        <v>0</v>
      </c>
      <c r="M76" s="17">
        <v>0</v>
      </c>
      <c r="N76" s="17">
        <f>VLOOKUP(A76,Data!A:B,2,FALSE)</f>
        <v>10</v>
      </c>
      <c r="O76" s="19">
        <f t="shared" ref="O76" si="88">L76</f>
        <v>0</v>
      </c>
      <c r="P76" s="16">
        <v>22</v>
      </c>
      <c r="Q76" s="14" t="s">
        <v>31</v>
      </c>
      <c r="R76" s="12">
        <f>VLOOKUP(A76,Data!A:D,4,FALSE)</f>
        <v>2.5</v>
      </c>
      <c r="S76" s="17">
        <f>VLOOKUP(A76,Data!A:C,3,FALSE)</f>
        <v>0.3</v>
      </c>
      <c r="T76" s="17"/>
      <c r="U76" s="17">
        <f t="shared" si="57"/>
        <v>117.19999999999999</v>
      </c>
      <c r="V76" s="29">
        <f t="shared" si="75"/>
        <v>120</v>
      </c>
      <c r="W76" s="91"/>
      <c r="X76" s="62"/>
      <c r="Y76" s="34"/>
      <c r="Z76" s="34">
        <f>0.85*V76</f>
        <v>102</v>
      </c>
      <c r="AA76" s="31">
        <f t="shared" si="76"/>
        <v>102</v>
      </c>
      <c r="AB76" s="92"/>
      <c r="AC76" s="1">
        <v>-85</v>
      </c>
      <c r="AD76" s="93" t="str">
        <f t="shared" si="77"/>
        <v>Positive</v>
      </c>
      <c r="AE76" s="107">
        <f t="shared" si="78"/>
        <v>0.34</v>
      </c>
      <c r="AF76" s="106" t="b">
        <f t="shared" si="79"/>
        <v>1</v>
      </c>
      <c r="AG76" s="16"/>
      <c r="AH76" s="17"/>
      <c r="AI76" s="18"/>
      <c r="AJ76" s="20"/>
      <c r="AK76" s="16">
        <f>VLOOKUP(A76,Data!A:F,6,FALSE)</f>
        <v>10</v>
      </c>
      <c r="AL76" s="18">
        <f t="shared" si="72"/>
        <v>1.24</v>
      </c>
      <c r="AM76" s="20">
        <f t="shared" ref="AM76" si="89">AL76</f>
        <v>1.24</v>
      </c>
      <c r="AN76" s="21"/>
      <c r="AO76" s="22"/>
      <c r="AP76" s="152">
        <v>1</v>
      </c>
      <c r="AQ76" s="152">
        <f t="shared" si="73"/>
        <v>0</v>
      </c>
      <c r="AR76" s="162">
        <v>23.9</v>
      </c>
      <c r="AS76" s="17">
        <f>IF(AR76&lt;=Sheet2!$D$2,Sheet2!$C$2,IF(AR76&lt;=Sheet2!$D$3,Sheet2!$C$3,IF(AR76&lt;=Sheet2!$D$4,Sheet2!$C$4,IF(AR76&lt;=Sheet2!$D$5,Sheet2!$C$5,IF(AR76&lt;=Sheet2!$D$6,Sheet2!$C$6,IF(AR76&lt;=Sheet2!$D$7,Sheet2!$C$7,IF(AR76&lt;=Sheet2!$D$8,Sheet2!$C$8,IF(AR76&lt;=Sheet2!$D$9,Sheet2!$C$9,IF(AR76&lt;=Sheet2!$D$10,Sheet2!$C$10,IF(AR76&lt;=Sheet2!$D$11,Sheet2!$C$11,0))))))))))</f>
        <v>0</v>
      </c>
      <c r="AT76" s="2">
        <f t="shared" si="80"/>
        <v>-120</v>
      </c>
      <c r="AU76" s="22"/>
      <c r="AV76" s="22"/>
      <c r="AW76" s="22"/>
      <c r="AX76" s="22"/>
      <c r="AY76" s="22">
        <f t="shared" si="74"/>
        <v>0</v>
      </c>
      <c r="AZ76" s="39">
        <f t="shared" si="81"/>
        <v>655.32258064516122</v>
      </c>
      <c r="BA76" s="161" t="s">
        <v>374</v>
      </c>
      <c r="BB76" s="31">
        <f>IF(AR76&lt;=Sheet2!$D$2,Sheet2!$B$2,IF(AR76&lt;=Sheet2!$D$3,Sheet2!$B$3,IF(AR76&lt;=Sheet2!$D$4,Sheet2!$B$4,IF(AR76&lt;=Sheet2!$D$5,Sheet2!$B$5,IF(AR76&lt;=Sheet2!$D$6,Sheet2!$B$6,IF(AR76&lt;=Sheet2!$D$7,Sheet2!$B$7,IF(AR76&lt;=Sheet2!$D$8,Sheet2!$B$8,IF(AR76&lt;=Sheet2!$D$9,Sheet2!$B$9,IF(AR76&lt;=Sheet2!$D$10,Sheet2!$B$10,IF(AR76&lt;=Sheet2!$D$11,Sheet2!$B$11,0))))))))))</f>
        <v>0</v>
      </c>
    </row>
    <row r="77" spans="1:56" ht="15" thickBot="1" x14ac:dyDescent="0.35">
      <c r="A77" t="s">
        <v>112</v>
      </c>
      <c r="B77" s="3">
        <v>72</v>
      </c>
      <c r="C77" s="64" t="s">
        <v>334</v>
      </c>
      <c r="D77" s="27" t="s">
        <v>346</v>
      </c>
      <c r="E77" s="27" t="s">
        <v>260</v>
      </c>
      <c r="F77" s="28"/>
      <c r="G77" s="29">
        <f>5*5.9</f>
        <v>29.5</v>
      </c>
      <c r="H77" s="47">
        <f t="shared" si="85"/>
        <v>29.5</v>
      </c>
      <c r="I77" s="30">
        <v>11</v>
      </c>
      <c r="J77" s="42"/>
      <c r="K77" s="49">
        <f t="shared" ref="K77" si="90">I77</f>
        <v>11</v>
      </c>
      <c r="L77" s="42"/>
      <c r="M77" s="2"/>
      <c r="N77" s="2">
        <v>50</v>
      </c>
      <c r="O77" s="31"/>
      <c r="P77" s="32">
        <v>22</v>
      </c>
      <c r="Q77" s="29" t="s">
        <v>31</v>
      </c>
      <c r="R77" s="33">
        <v>3.8</v>
      </c>
      <c r="S77" s="2">
        <v>0.3</v>
      </c>
      <c r="T77" s="2"/>
      <c r="U77" s="2">
        <f t="shared" si="57"/>
        <v>50.65</v>
      </c>
      <c r="V77" s="29">
        <v>55</v>
      </c>
      <c r="W77" s="91">
        <v>-40</v>
      </c>
      <c r="X77" s="62"/>
      <c r="Y77" s="34">
        <f t="shared" ref="Y77" si="91">0.85*V77</f>
        <v>46.75</v>
      </c>
      <c r="Z77" s="2">
        <v>45</v>
      </c>
      <c r="AA77" s="128"/>
      <c r="AB77" s="92">
        <v>0</v>
      </c>
      <c r="AC77" s="132"/>
      <c r="AD77" s="93" t="str">
        <f t="shared" si="77"/>
        <v>Positive</v>
      </c>
      <c r="AE77" s="107">
        <f>ROUND(ABS((V77+AB77+W77+AC77)*3.6)/(G77*3),2)</f>
        <v>0.61</v>
      </c>
      <c r="AF77" s="106" t="b">
        <f t="shared" si="79"/>
        <v>1</v>
      </c>
      <c r="AG77" s="35"/>
      <c r="AH77" s="36"/>
      <c r="AK77" s="32">
        <v>10</v>
      </c>
      <c r="AL77" s="35">
        <f>AK77*G77/1000</f>
        <v>0.29499999999999998</v>
      </c>
      <c r="AM77" s="36">
        <f t="shared" ref="AM77" si="92">AL77</f>
        <v>0.29499999999999998</v>
      </c>
      <c r="AN77" s="27">
        <v>4.9000000000000004</v>
      </c>
      <c r="AO77" s="27">
        <v>4.9000000000000004</v>
      </c>
      <c r="AP77" s="153">
        <v>1</v>
      </c>
      <c r="AQ77" s="153">
        <f t="shared" si="73"/>
        <v>4.9000000000000004</v>
      </c>
      <c r="AR77" s="161">
        <v>4.9000000000000004</v>
      </c>
      <c r="AS77" s="38">
        <f>IF(AR77&lt;=Sheet2!$D$2,Sheet2!$C$2,IF(AR77&lt;=Sheet2!$D$3,Sheet2!$C$3,IF(AR77&lt;=Sheet2!$D$4,Sheet2!$C$4,IF(AR77&lt;=Sheet2!$D$5,Sheet2!$C$5,IF(AR77&lt;=Sheet2!$D$6,Sheet2!$C$6,IF(AR77&lt;=Sheet2!$D$7,Sheet2!$C$7,IF(AR77&lt;=Sheet2!$D$8,Sheet2!$C$8,IF(AR77&lt;=Sheet2!$D$9,Sheet2!$C$9,IF(AR77&lt;=Sheet2!$D$10,Sheet2!$C$10,IF(AR77&lt;=Sheet2!$D$11,Sheet2!$C$11,0))))))))))</f>
        <v>383</v>
      </c>
      <c r="AT77" s="2">
        <f t="shared" si="80"/>
        <v>328</v>
      </c>
      <c r="AU77" s="38"/>
      <c r="AV77" s="38"/>
      <c r="AW77" s="38"/>
      <c r="AX77" s="39"/>
      <c r="AY77" s="22">
        <f t="shared" si="74"/>
        <v>12.983050847457626</v>
      </c>
      <c r="AZ77" s="39">
        <f t="shared" si="81"/>
        <v>564.74576271186447</v>
      </c>
      <c r="BA77" s="161" t="s">
        <v>376</v>
      </c>
      <c r="BB77" s="31" t="str">
        <f>IF(AR77&lt;=Sheet2!$D$2,Sheet2!$B$2,IF(AR77&lt;=Sheet2!$D$3,Sheet2!$B$3,IF(AR77&lt;=Sheet2!$D$4,Sheet2!$B$4,IF(AR77&lt;=Sheet2!$D$5,Sheet2!$B$5,IF(AR77&lt;=Sheet2!$D$6,Sheet2!$B$6,IF(AR77&lt;=Sheet2!$D$7,Sheet2!$B$7,IF(AR77&lt;=Sheet2!$D$8,Sheet2!$B$8,IF(AR77&lt;=Sheet2!$D$9,Sheet2!$B$9,IF(AR77&lt;=Sheet2!$D$10,Sheet2!$B$10,IF(AR77&lt;=Sheet2!$D$11,Sheet2!$B$11,0))))))))))</f>
        <v>FXSQ80A</v>
      </c>
    </row>
    <row r="78" spans="1:56" ht="13.95" customHeight="1" thickBot="1" x14ac:dyDescent="0.35">
      <c r="A78" t="s">
        <v>121</v>
      </c>
      <c r="B78" s="3">
        <v>73</v>
      </c>
      <c r="C78" s="64" t="s">
        <v>334</v>
      </c>
      <c r="D78" s="13" t="s">
        <v>195</v>
      </c>
      <c r="E78" s="13" t="s">
        <v>121</v>
      </c>
      <c r="F78" s="26" t="s">
        <v>215</v>
      </c>
      <c r="G78" s="14">
        <v>15</v>
      </c>
      <c r="H78" s="14">
        <f t="shared" si="82"/>
        <v>15</v>
      </c>
      <c r="I78" s="15">
        <v>0</v>
      </c>
      <c r="J78" s="41"/>
      <c r="K78" s="19">
        <f t="shared" si="36"/>
        <v>0</v>
      </c>
      <c r="L78" s="41">
        <v>0</v>
      </c>
      <c r="M78" s="17">
        <v>0</v>
      </c>
      <c r="N78" s="17">
        <f>VLOOKUP(A78,Data!A:B,2,FALSE)</f>
        <v>0</v>
      </c>
      <c r="O78" s="19">
        <f t="shared" ref="O78" si="93">L78</f>
        <v>0</v>
      </c>
      <c r="P78" s="16">
        <v>22</v>
      </c>
      <c r="Q78" s="14" t="s">
        <v>31</v>
      </c>
      <c r="R78" s="12">
        <f>VLOOKUP(A78,Data!A:D,4,FALSE)</f>
        <v>0</v>
      </c>
      <c r="S78" s="17">
        <f>VLOOKUP(A78,Data!A:C,3,FALSE)</f>
        <v>0</v>
      </c>
      <c r="T78" s="17"/>
      <c r="U78" s="17"/>
      <c r="V78" s="29"/>
      <c r="W78" s="91">
        <v>65</v>
      </c>
      <c r="X78" s="62">
        <f>VLOOKUP(A78,Data!A:E,5,FALSE)</f>
        <v>5</v>
      </c>
      <c r="Y78" s="34"/>
      <c r="Z78" s="91">
        <f>X78*G78</f>
        <v>75</v>
      </c>
      <c r="AA78" s="31">
        <f t="shared" si="76"/>
        <v>75</v>
      </c>
      <c r="AB78" s="92">
        <f>(CEILING(AA78,1))*-1</f>
        <v>-75</v>
      </c>
      <c r="AC78" s="132"/>
      <c r="AD78" s="93" t="str">
        <f t="shared" si="77"/>
        <v>Negative</v>
      </c>
      <c r="AE78" s="107">
        <f t="shared" si="78"/>
        <v>0.8</v>
      </c>
      <c r="AF78" s="106" t="b">
        <f t="shared" si="79"/>
        <v>1</v>
      </c>
      <c r="AG78" s="16"/>
      <c r="AH78" s="17"/>
      <c r="AI78" s="18"/>
      <c r="AJ78" s="20"/>
      <c r="AK78" s="16">
        <f>VLOOKUP(A78,Data!A:F,6,FALSE)</f>
        <v>10</v>
      </c>
      <c r="AL78" s="18">
        <f t="shared" ref="AL78:AL115" si="94">AK78*G78/1000</f>
        <v>0.15</v>
      </c>
      <c r="AM78" s="140">
        <f t="shared" ref="AM78:AM92" si="95">AL78</f>
        <v>0.15</v>
      </c>
      <c r="AN78" s="27">
        <v>6.9</v>
      </c>
      <c r="AO78" s="27">
        <v>6.6</v>
      </c>
      <c r="AP78" s="153">
        <v>1</v>
      </c>
      <c r="AQ78" s="153">
        <f t="shared" si="73"/>
        <v>6.6</v>
      </c>
      <c r="AR78" s="162">
        <v>6.6</v>
      </c>
      <c r="AS78" s="17">
        <f>IF(AR78&lt;=Sheet2!$D$2,Sheet2!$C$2,IF(AR78&lt;=Sheet2!$D$3,Sheet2!$C$3,IF(AR78&lt;=Sheet2!$D$4,Sheet2!$C$4,IF(AR78&lt;=Sheet2!$D$5,Sheet2!$C$5,IF(AR78&lt;=Sheet2!$D$6,Sheet2!$C$6,IF(AR78&lt;=Sheet2!$D$7,Sheet2!$C$7,IF(AR78&lt;=Sheet2!$D$8,Sheet2!$C$8,IF(AR78&lt;=Sheet2!$D$9,Sheet2!$C$9,IF(AR78&lt;=Sheet2!$D$10,Sheet2!$C$10,IF(AR78&lt;=Sheet2!$D$11,Sheet2!$C$11,0))))))))))</f>
        <v>533</v>
      </c>
      <c r="AT78" s="2">
        <f t="shared" si="80"/>
        <v>533</v>
      </c>
      <c r="AU78" s="22"/>
      <c r="AV78" s="22"/>
      <c r="AW78" s="22"/>
      <c r="AX78" s="22"/>
      <c r="AY78" s="22">
        <f t="shared" si="74"/>
        <v>35.533333333333331</v>
      </c>
      <c r="AZ78" s="39">
        <f t="shared" si="81"/>
        <v>1496</v>
      </c>
      <c r="BA78" s="162" t="s">
        <v>376</v>
      </c>
      <c r="BB78" s="31" t="str">
        <f>IF(AR78&lt;=Sheet2!$D$2,Sheet2!$B$2,IF(AR78&lt;=Sheet2!$D$3,Sheet2!$B$3,IF(AR78&lt;=Sheet2!$D$4,Sheet2!$B$4,IF(AR78&lt;=Sheet2!$D$5,Sheet2!$B$5,IF(AR78&lt;=Sheet2!$D$6,Sheet2!$B$6,IF(AR78&lt;=Sheet2!$D$7,Sheet2!$B$7,IF(AR78&lt;=Sheet2!$D$8,Sheet2!$B$8,IF(AR78&lt;=Sheet2!$D$9,Sheet2!$B$9,IF(AR78&lt;=Sheet2!$D$10,Sheet2!$B$10,IF(AR78&lt;=Sheet2!$D$11,Sheet2!$B$11,0))))))))))</f>
        <v>FXSQ100A</v>
      </c>
    </row>
    <row r="79" spans="1:56" ht="15" thickBot="1" x14ac:dyDescent="0.35">
      <c r="A79" t="s">
        <v>113</v>
      </c>
      <c r="B79" s="3">
        <v>74</v>
      </c>
      <c r="C79" s="64" t="s">
        <v>336</v>
      </c>
      <c r="D79" s="27" t="s">
        <v>196</v>
      </c>
      <c r="E79" s="27" t="s">
        <v>261</v>
      </c>
      <c r="F79" s="28" t="s">
        <v>216</v>
      </c>
      <c r="G79" s="29">
        <f>2.5*5</f>
        <v>12.5</v>
      </c>
      <c r="H79" s="29">
        <f t="shared" si="82"/>
        <v>12.5</v>
      </c>
      <c r="I79" s="30">
        <v>3</v>
      </c>
      <c r="J79" s="42"/>
      <c r="K79" s="31">
        <f t="shared" si="36"/>
        <v>3</v>
      </c>
      <c r="L79" s="42"/>
      <c r="M79" s="2"/>
      <c r="N79" s="2">
        <f>VLOOKUP(A79,Data!A:B,2,FALSE)</f>
        <v>100</v>
      </c>
      <c r="O79" s="31"/>
      <c r="P79" s="32">
        <v>22</v>
      </c>
      <c r="Q79" s="29" t="s">
        <v>31</v>
      </c>
      <c r="R79" s="33">
        <v>3.8</v>
      </c>
      <c r="S79" s="2">
        <f>VLOOKUP(A79,Data!A:C,3,FALSE)</f>
        <v>0.9</v>
      </c>
      <c r="T79" s="2"/>
      <c r="U79" s="2">
        <f t="shared" si="57"/>
        <v>22.65</v>
      </c>
      <c r="V79" s="29">
        <v>20</v>
      </c>
      <c r="W79" s="91"/>
      <c r="X79" s="62"/>
      <c r="Y79" s="34"/>
      <c r="Z79" s="34">
        <f>G79*1.5</f>
        <v>18.75</v>
      </c>
      <c r="AA79" s="31">
        <f t="shared" si="76"/>
        <v>19</v>
      </c>
      <c r="AB79" s="92">
        <v>-25</v>
      </c>
      <c r="AC79" s="132"/>
      <c r="AD79" s="93" t="str">
        <f t="shared" si="77"/>
        <v>Negative</v>
      </c>
      <c r="AE79" s="107">
        <f t="shared" si="78"/>
        <v>0.48</v>
      </c>
      <c r="AF79" s="106" t="b">
        <f t="shared" si="79"/>
        <v>1</v>
      </c>
      <c r="AG79" s="32"/>
      <c r="AH79" s="2"/>
      <c r="AI79" s="35"/>
      <c r="AJ79" s="36"/>
      <c r="AK79" s="32">
        <f>VLOOKUP(A79,Data!A:F,6,FALSE)</f>
        <v>10</v>
      </c>
      <c r="AL79" s="35">
        <f t="shared" si="94"/>
        <v>0.125</v>
      </c>
      <c r="AM79" s="141">
        <f t="shared" ref="AM79:AM80" si="96">AL79</f>
        <v>0.125</v>
      </c>
      <c r="AN79" s="27">
        <v>0.8</v>
      </c>
      <c r="AO79" s="27">
        <v>0.8</v>
      </c>
      <c r="AP79" s="153">
        <v>1</v>
      </c>
      <c r="AQ79" s="153">
        <f t="shared" si="73"/>
        <v>0.8</v>
      </c>
      <c r="AR79" s="161">
        <v>0.8</v>
      </c>
      <c r="AS79" s="2">
        <f>IF(AR79&lt;=Sheet2!$D$2,Sheet2!$C$2,IF(AR79&lt;=Sheet2!$D$3,Sheet2!$C$3,IF(AR79&lt;=Sheet2!$D$4,Sheet2!$C$4,IF(AR79&lt;=Sheet2!$D$5,Sheet2!$C$5,IF(AR79&lt;=Sheet2!$D$6,Sheet2!$C$6,IF(AR79&lt;=Sheet2!$D$7,Sheet2!$C$7,IF(AR79&lt;=Sheet2!$D$8,Sheet2!$C$8,IF(AR79&lt;=Sheet2!$D$9,Sheet2!$C$9,IF(AR79&lt;=Sheet2!$D$10,Sheet2!$C$10,IF(AR79&lt;=Sheet2!$D$11,Sheet2!$C$11,0))))))))))</f>
        <v>150</v>
      </c>
      <c r="AT79" s="2">
        <f t="shared" si="80"/>
        <v>130</v>
      </c>
      <c r="AU79" s="38"/>
      <c r="AV79" s="38"/>
      <c r="AW79" s="38"/>
      <c r="AX79" s="38"/>
      <c r="AY79" s="38">
        <f t="shared" si="74"/>
        <v>12</v>
      </c>
      <c r="AZ79" s="39">
        <f t="shared" si="81"/>
        <v>217.6</v>
      </c>
      <c r="BA79" s="161" t="s">
        <v>376</v>
      </c>
      <c r="BB79" s="31" t="str">
        <f>IF(AR79&lt;=Sheet2!$D$2,Sheet2!$B$2,IF(AR79&lt;=Sheet2!$D$3,Sheet2!$B$3,IF(AR79&lt;=Sheet2!$D$4,Sheet2!$B$4,IF(AR79&lt;=Sheet2!$D$5,Sheet2!$B$5,IF(AR79&lt;=Sheet2!$D$6,Sheet2!$B$6,IF(AR79&lt;=Sheet2!$D$7,Sheet2!$B$7,IF(AR79&lt;=Sheet2!$D$8,Sheet2!$B$8,IF(AR79&lt;=Sheet2!$D$9,Sheet2!$B$9,IF(AR79&lt;=Sheet2!$D$10,Sheet2!$B$10,IF(AR79&lt;=Sheet2!$D$11,Sheet2!$B$11,0))))))))))</f>
        <v>FXSQ20A</v>
      </c>
    </row>
    <row r="80" spans="1:56" ht="13.95" customHeight="1" thickBot="1" x14ac:dyDescent="0.35">
      <c r="A80" t="s">
        <v>110</v>
      </c>
      <c r="B80" s="3">
        <v>75</v>
      </c>
      <c r="C80" s="64" t="s">
        <v>336</v>
      </c>
      <c r="D80" s="13" t="s">
        <v>197</v>
      </c>
      <c r="E80" s="13" t="s">
        <v>77</v>
      </c>
      <c r="F80" s="26" t="s">
        <v>74</v>
      </c>
      <c r="G80" s="14">
        <f>4.5*(5.7+1.8)</f>
        <v>33.75</v>
      </c>
      <c r="H80" s="14">
        <f t="shared" si="82"/>
        <v>33.75</v>
      </c>
      <c r="I80" s="15">
        <v>5</v>
      </c>
      <c r="J80" s="41"/>
      <c r="K80" s="19">
        <f t="shared" si="36"/>
        <v>5</v>
      </c>
      <c r="L80" s="41">
        <v>0</v>
      </c>
      <c r="M80" s="17">
        <v>0</v>
      </c>
      <c r="N80" s="17">
        <f>VLOOKUP(A80,Data!A:B,2,FALSE)</f>
        <v>0</v>
      </c>
      <c r="O80" s="19">
        <f t="shared" ref="O80" si="97">L80</f>
        <v>0</v>
      </c>
      <c r="P80" s="16">
        <v>22</v>
      </c>
      <c r="Q80" s="14" t="s">
        <v>31</v>
      </c>
      <c r="R80" s="12">
        <f>VLOOKUP(A80,Data!A:D,4,FALSE)</f>
        <v>0</v>
      </c>
      <c r="S80" s="17">
        <f>VLOOKUP(A80,Data!A:C,3,FALSE)</f>
        <v>0</v>
      </c>
      <c r="T80" s="17"/>
      <c r="U80" s="17">
        <f>Z80*0.85</f>
        <v>127.5</v>
      </c>
      <c r="V80" s="29"/>
      <c r="W80" s="91">
        <v>130</v>
      </c>
      <c r="X80" s="62">
        <v>25</v>
      </c>
      <c r="Y80" s="34">
        <v>6</v>
      </c>
      <c r="Z80" s="34">
        <f>Y80*X80</f>
        <v>150</v>
      </c>
      <c r="AA80" s="31">
        <f t="shared" si="76"/>
        <v>150</v>
      </c>
      <c r="AB80" s="92">
        <v>-150</v>
      </c>
      <c r="AC80" s="132"/>
      <c r="AD80" s="93" t="str">
        <f t="shared" si="77"/>
        <v>Negative</v>
      </c>
      <c r="AE80" s="107">
        <f t="shared" si="78"/>
        <v>0.71</v>
      </c>
      <c r="AF80" s="106" t="b">
        <f t="shared" si="79"/>
        <v>1</v>
      </c>
      <c r="AG80" s="16"/>
      <c r="AH80" s="17"/>
      <c r="AI80" s="18"/>
      <c r="AJ80" s="20"/>
      <c r="AK80" s="16">
        <f>VLOOKUP(A80,Data!A:F,6,FALSE)</f>
        <v>10</v>
      </c>
      <c r="AL80" s="18">
        <f t="shared" si="94"/>
        <v>0.33750000000000002</v>
      </c>
      <c r="AM80" s="140">
        <f t="shared" si="96"/>
        <v>0.33750000000000002</v>
      </c>
      <c r="AN80" s="27">
        <v>3.4</v>
      </c>
      <c r="AO80" s="27">
        <v>2.8</v>
      </c>
      <c r="AP80" s="153">
        <v>1</v>
      </c>
      <c r="AQ80" s="153">
        <f t="shared" si="73"/>
        <v>2.8</v>
      </c>
      <c r="AR80" s="162">
        <v>2.8</v>
      </c>
      <c r="AS80" s="17">
        <f>IF(AR80&lt;=Sheet2!$D$2,Sheet2!$C$2,IF(AR80&lt;=Sheet2!$D$3,Sheet2!$C$3,IF(AR80&lt;=Sheet2!$D$4,Sheet2!$C$4,IF(AR80&lt;=Sheet2!$D$5,Sheet2!$C$5,IF(AR80&lt;=Sheet2!$D$6,Sheet2!$C$6,IF(AR80&lt;=Sheet2!$D$7,Sheet2!$C$7,IF(AR80&lt;=Sheet2!$D$8,Sheet2!$C$8,IF(AR80&lt;=Sheet2!$D$9,Sheet2!$C$9,IF(AR80&lt;=Sheet2!$D$10,Sheet2!$C$10,IF(AR80&lt;=Sheet2!$D$11,Sheet2!$C$11,0))))))))))</f>
        <v>250</v>
      </c>
      <c r="AT80" s="2">
        <f t="shared" si="80"/>
        <v>250</v>
      </c>
      <c r="AU80" s="22"/>
      <c r="AV80" s="22"/>
      <c r="AW80" s="22"/>
      <c r="AX80" s="22"/>
      <c r="AY80" s="22">
        <f t="shared" si="74"/>
        <v>7.4074074074074074</v>
      </c>
      <c r="AZ80" s="39">
        <f t="shared" si="81"/>
        <v>282.07407407407408</v>
      </c>
      <c r="BA80" s="162" t="s">
        <v>376</v>
      </c>
      <c r="BB80" s="31" t="str">
        <f>IF(AR80&lt;=Sheet2!$D$2,Sheet2!$B$2,IF(AR80&lt;=Sheet2!$D$3,Sheet2!$B$3,IF(AR80&lt;=Sheet2!$D$4,Sheet2!$B$4,IF(AR80&lt;=Sheet2!$D$5,Sheet2!$B$5,IF(AR80&lt;=Sheet2!$D$6,Sheet2!$B$6,IF(AR80&lt;=Sheet2!$D$7,Sheet2!$B$7,IF(AR80&lt;=Sheet2!$D$8,Sheet2!$B$8,IF(AR80&lt;=Sheet2!$D$9,Sheet2!$B$9,IF(AR80&lt;=Sheet2!$D$10,Sheet2!$B$10,IF(AR80&lt;=Sheet2!$D$11,Sheet2!$B$11,0))))))))))</f>
        <v>FXSQ40A</v>
      </c>
    </row>
    <row r="81" spans="1:54" ht="15" thickBot="1" x14ac:dyDescent="0.35">
      <c r="A81" t="s">
        <v>110</v>
      </c>
      <c r="B81" s="3">
        <v>76</v>
      </c>
      <c r="C81" s="64" t="s">
        <v>337</v>
      </c>
      <c r="D81" s="27" t="s">
        <v>198</v>
      </c>
      <c r="E81" s="27" t="s">
        <v>262</v>
      </c>
      <c r="F81" s="28" t="s">
        <v>217</v>
      </c>
      <c r="G81" s="29">
        <f>3.5*2.5</f>
        <v>8.75</v>
      </c>
      <c r="H81" s="29">
        <f t="shared" si="82"/>
        <v>8.75</v>
      </c>
      <c r="I81" s="30">
        <v>1</v>
      </c>
      <c r="J81" s="42"/>
      <c r="K81" s="31">
        <f t="shared" si="36"/>
        <v>1</v>
      </c>
      <c r="L81" s="42"/>
      <c r="M81" s="2"/>
      <c r="N81" s="2">
        <f>VLOOKUP(A81,Data!A:B,2,FALSE)</f>
        <v>0</v>
      </c>
      <c r="O81" s="31"/>
      <c r="P81" s="32">
        <v>22</v>
      </c>
      <c r="Q81" s="29" t="s">
        <v>31</v>
      </c>
      <c r="R81" s="33">
        <f>VLOOKUP(A81,Data!A:D,4,FALSE)</f>
        <v>0</v>
      </c>
      <c r="S81" s="2">
        <f>VLOOKUP(A81,Data!A:C,3,FALSE)</f>
        <v>0</v>
      </c>
      <c r="T81" s="2"/>
      <c r="U81" s="2">
        <f t="shared" si="57"/>
        <v>0</v>
      </c>
      <c r="V81" s="29">
        <f t="shared" ref="V81:V111" si="98">CEILING(U81,5)</f>
        <v>0</v>
      </c>
      <c r="W81" s="91">
        <v>20</v>
      </c>
      <c r="X81" s="62">
        <v>25</v>
      </c>
      <c r="Y81" s="34">
        <v>1</v>
      </c>
      <c r="Z81" s="34">
        <f>X81*Y81</f>
        <v>25</v>
      </c>
      <c r="AA81" s="31">
        <f t="shared" si="76"/>
        <v>25</v>
      </c>
      <c r="AB81" s="92">
        <f>(CEILING(AA81,1))*-1</f>
        <v>-25</v>
      </c>
      <c r="AC81" s="132"/>
      <c r="AD81" s="93" t="str">
        <f t="shared" si="77"/>
        <v>Negative</v>
      </c>
      <c r="AE81" s="107">
        <f t="shared" si="78"/>
        <v>0.69</v>
      </c>
      <c r="AF81" s="106" t="b">
        <f t="shared" si="79"/>
        <v>1</v>
      </c>
      <c r="AG81" s="32"/>
      <c r="AH81" s="2"/>
      <c r="AI81" s="35"/>
      <c r="AJ81" s="36"/>
      <c r="AK81" s="32">
        <f>VLOOKUP(A81,Data!A:F,6,FALSE)</f>
        <v>10</v>
      </c>
      <c r="AL81" s="35">
        <f t="shared" si="94"/>
        <v>8.7499999999999994E-2</v>
      </c>
      <c r="AM81" s="141">
        <f t="shared" ref="AM81:AM82" si="99">AL81</f>
        <v>8.7499999999999994E-2</v>
      </c>
      <c r="AN81" s="27">
        <v>1.8</v>
      </c>
      <c r="AO81" s="27">
        <v>1.6</v>
      </c>
      <c r="AP81" s="153">
        <v>1</v>
      </c>
      <c r="AQ81" s="153">
        <f t="shared" si="73"/>
        <v>1.6</v>
      </c>
      <c r="AR81" s="161">
        <f>IF(AQ81&lt;[1]Sheet2!$D$2,[1]Sheet2!$D$2,IF(AQ81&lt;[1]Sheet2!$D$3,[1]Sheet2!$D$3,IF(AQ81&lt;[1]Sheet2!$D$4,[1]Sheet2!$D$4,IF(AQ81&lt;[1]Sheet2!$D$5,[1]Sheet2!$D$5,IF(AQ81&lt;[1]Sheet2!$D$6,[1]Sheet2!$D$6,IF(AQ81&lt;[1]Sheet2!$D$7,[1]Sheet2!$D$7,IF(AQ81&lt;[1]Sheet2!$D$8,[1]Sheet2!$D$8,IF(AQ81&lt;[1]Sheet2!$D$9,[1]Sheet2!$D$9,IF(AQ81&lt;[1]Sheet2!$D$10,[1]Sheet2!$D$10,IF(AQ81&lt;[1]Sheet2!$D$11,0))))))))))</f>
        <v>1.8</v>
      </c>
      <c r="AS81" s="2">
        <f>IF(AR81&lt;=Sheet2!$D$2,Sheet2!$C$2,IF(AR81&lt;=Sheet2!$D$3,Sheet2!$C$3,IF(AR81&lt;=Sheet2!$D$4,Sheet2!$C$4,IF(AR81&lt;=Sheet2!$D$5,Sheet2!$C$5,IF(AR81&lt;=Sheet2!$D$6,Sheet2!$C$6,IF(AR81&lt;=Sheet2!$D$7,Sheet2!$C$7,IF(AR81&lt;=Sheet2!$D$8,Sheet2!$C$8,IF(AR81&lt;=Sheet2!$D$9,Sheet2!$C$9,IF(AR81&lt;=Sheet2!$D$10,Sheet2!$C$10,IF(AR81&lt;=Sheet2!$D$11,Sheet2!$C$11,0))))))))))</f>
        <v>150</v>
      </c>
      <c r="AT81" s="2">
        <f t="shared" si="80"/>
        <v>150</v>
      </c>
      <c r="AU81" s="38"/>
      <c r="AV81" s="38"/>
      <c r="AW81" s="38"/>
      <c r="AX81" s="38"/>
      <c r="AY81" s="38">
        <f t="shared" si="74"/>
        <v>17.142857142857142</v>
      </c>
      <c r="AZ81" s="39">
        <f t="shared" si="81"/>
        <v>699.42857142857144</v>
      </c>
      <c r="BA81" s="161" t="s">
        <v>376</v>
      </c>
      <c r="BB81" s="31" t="str">
        <f>IF(AR81&lt;=Sheet2!$D$2,Sheet2!$B$2,IF(AR81&lt;=Sheet2!$D$3,Sheet2!$B$3,IF(AR81&lt;=Sheet2!$D$4,Sheet2!$B$4,IF(AR81&lt;=Sheet2!$D$5,Sheet2!$B$5,IF(AR81&lt;=Sheet2!$D$6,Sheet2!$B$6,IF(AR81&lt;=Sheet2!$D$7,Sheet2!$B$7,IF(AR81&lt;=Sheet2!$D$8,Sheet2!$B$8,IF(AR81&lt;=Sheet2!$D$9,Sheet2!$B$9,IF(AR81&lt;=Sheet2!$D$10,Sheet2!$B$10,IF(AR81&lt;=Sheet2!$D$11,Sheet2!$B$11,0))))))))))</f>
        <v>FXSQ25A</v>
      </c>
    </row>
    <row r="82" spans="1:54" ht="13.95" customHeight="1" thickBot="1" x14ac:dyDescent="0.35">
      <c r="A82" t="s">
        <v>9</v>
      </c>
      <c r="B82" s="3">
        <v>77</v>
      </c>
      <c r="C82" s="64" t="s">
        <v>336</v>
      </c>
      <c r="D82" s="13" t="s">
        <v>199</v>
      </c>
      <c r="E82" s="13" t="s">
        <v>263</v>
      </c>
      <c r="F82" s="26" t="s">
        <v>218</v>
      </c>
      <c r="G82" s="14">
        <f>3.5*5</f>
        <v>17.5</v>
      </c>
      <c r="H82" s="14">
        <f t="shared" si="82"/>
        <v>17.5</v>
      </c>
      <c r="I82" s="15">
        <v>3</v>
      </c>
      <c r="J82" s="41"/>
      <c r="K82" s="19">
        <f t="shared" si="36"/>
        <v>3</v>
      </c>
      <c r="L82" s="41">
        <v>0</v>
      </c>
      <c r="M82" s="17">
        <v>0</v>
      </c>
      <c r="N82" s="17">
        <f>VLOOKUP(A82,Data!A:B,2,FALSE)</f>
        <v>5</v>
      </c>
      <c r="O82" s="19">
        <f t="shared" ref="O82" si="100">L82</f>
        <v>0</v>
      </c>
      <c r="P82" s="16">
        <v>22</v>
      </c>
      <c r="Q82" s="14" t="s">
        <v>31</v>
      </c>
      <c r="R82" s="12">
        <f>VLOOKUP(A82,Data!A:D,4,FALSE)</f>
        <v>2.5</v>
      </c>
      <c r="S82" s="17">
        <f>VLOOKUP(A82,Data!A:C,3,FALSE)</f>
        <v>0.3</v>
      </c>
      <c r="T82" s="17"/>
      <c r="U82" s="17">
        <f t="shared" si="57"/>
        <v>12.75</v>
      </c>
      <c r="V82" s="29">
        <f t="shared" si="98"/>
        <v>15</v>
      </c>
      <c r="W82" s="91"/>
      <c r="X82" s="62"/>
      <c r="Y82" s="34"/>
      <c r="Z82" s="34">
        <f t="shared" ref="Z82:Z89" si="101">0.85*V82</f>
        <v>12.75</v>
      </c>
      <c r="AA82" s="31">
        <v>0</v>
      </c>
      <c r="AB82" s="92">
        <v>0</v>
      </c>
      <c r="AC82" s="133">
        <v>-10</v>
      </c>
      <c r="AD82" s="93" t="str">
        <f t="shared" si="77"/>
        <v>Positive</v>
      </c>
      <c r="AE82" s="107">
        <f>ROUND(ABS((V82+AB82+W82+AC82)*3.6)/(G82*3),2)</f>
        <v>0.34</v>
      </c>
      <c r="AF82" s="106" t="b">
        <f t="shared" si="79"/>
        <v>1</v>
      </c>
      <c r="AG82" s="16"/>
      <c r="AH82" s="17"/>
      <c r="AI82" s="18"/>
      <c r="AJ82" s="20"/>
      <c r="AK82" s="16">
        <f>VLOOKUP(A82,Data!A:F,6,FALSE)</f>
        <v>10</v>
      </c>
      <c r="AL82" s="18">
        <f t="shared" si="94"/>
        <v>0.17499999999999999</v>
      </c>
      <c r="AM82" s="140">
        <f t="shared" si="99"/>
        <v>0.17499999999999999</v>
      </c>
      <c r="AN82" s="59">
        <v>1.6</v>
      </c>
      <c r="AO82" s="59">
        <v>1.6</v>
      </c>
      <c r="AP82" s="154">
        <v>1</v>
      </c>
      <c r="AQ82" s="154">
        <f t="shared" si="73"/>
        <v>1.6</v>
      </c>
      <c r="AR82" s="162">
        <v>1.6</v>
      </c>
      <c r="AS82" s="17">
        <f>IF(AR82&lt;=Sheet2!$D$2,Sheet2!$C$2,IF(AR82&lt;=Sheet2!$D$3,Sheet2!$C$3,IF(AR82&lt;=Sheet2!$D$4,Sheet2!$C$4,IF(AR82&lt;=Sheet2!$D$5,Sheet2!$C$5,IF(AR82&lt;=Sheet2!$D$6,Sheet2!$C$6,IF(AR82&lt;=Sheet2!$D$7,Sheet2!$C$7,IF(AR82&lt;=Sheet2!$D$8,Sheet2!$C$8,IF(AR82&lt;=Sheet2!$D$9,Sheet2!$C$9,IF(AR82&lt;=Sheet2!$D$10,Sheet2!$C$10,IF(AR82&lt;=Sheet2!$D$11,Sheet2!$C$11,0))))))))))</f>
        <v>150</v>
      </c>
      <c r="AT82" s="2">
        <f t="shared" si="80"/>
        <v>135</v>
      </c>
      <c r="AU82" s="22"/>
      <c r="AV82" s="22"/>
      <c r="AW82" s="22"/>
      <c r="AX82" s="22"/>
      <c r="AY82" s="22">
        <f t="shared" si="74"/>
        <v>8.5714285714285712</v>
      </c>
      <c r="AZ82" s="39">
        <f t="shared" si="81"/>
        <v>310.85714285714283</v>
      </c>
      <c r="BA82" s="162" t="s">
        <v>376</v>
      </c>
      <c r="BB82" s="31" t="str">
        <f>IF(AR82&lt;=Sheet2!$D$2,Sheet2!$B$2,IF(AR82&lt;=Sheet2!$D$3,Sheet2!$B$3,IF(AR82&lt;=Sheet2!$D$4,Sheet2!$B$4,IF(AR82&lt;=Sheet2!$D$5,Sheet2!$B$5,IF(AR82&lt;=Sheet2!$D$6,Sheet2!$B$6,IF(AR82&lt;=Sheet2!$D$7,Sheet2!$B$7,IF(AR82&lt;=Sheet2!$D$8,Sheet2!$B$8,IF(AR82&lt;=Sheet2!$D$9,Sheet2!$B$9,IF(AR82&lt;=Sheet2!$D$10,Sheet2!$B$10,IF(AR82&lt;=Sheet2!$D$11,Sheet2!$B$11,0))))))))))</f>
        <v>FXSQ25A</v>
      </c>
    </row>
    <row r="83" spans="1:54" ht="15" thickBot="1" x14ac:dyDescent="0.35">
      <c r="A83" t="s">
        <v>9</v>
      </c>
      <c r="B83" s="3">
        <v>78</v>
      </c>
      <c r="C83" s="64" t="s">
        <v>337</v>
      </c>
      <c r="D83" s="27" t="s">
        <v>200</v>
      </c>
      <c r="E83" s="27" t="s">
        <v>264</v>
      </c>
      <c r="F83" s="28" t="s">
        <v>219</v>
      </c>
      <c r="G83" s="29">
        <f>4*5</f>
        <v>20</v>
      </c>
      <c r="H83" s="29">
        <f t="shared" si="82"/>
        <v>20</v>
      </c>
      <c r="I83" s="30">
        <v>3</v>
      </c>
      <c r="J83" s="42"/>
      <c r="K83" s="31">
        <f t="shared" si="36"/>
        <v>3</v>
      </c>
      <c r="L83" s="42"/>
      <c r="M83" s="2"/>
      <c r="N83" s="2">
        <f>VLOOKUP(A83,Data!A:B,2,FALSE)</f>
        <v>5</v>
      </c>
      <c r="O83" s="31"/>
      <c r="P83" s="32">
        <v>22</v>
      </c>
      <c r="Q83" s="29" t="s">
        <v>31</v>
      </c>
      <c r="R83" s="33">
        <f>VLOOKUP(A83,Data!A:D,4,FALSE)</f>
        <v>2.5</v>
      </c>
      <c r="S83" s="2">
        <f>VLOOKUP(A83,Data!A:C,3,FALSE)</f>
        <v>0.3</v>
      </c>
      <c r="T83" s="2"/>
      <c r="U83" s="2">
        <f t="shared" si="57"/>
        <v>13.5</v>
      </c>
      <c r="V83" s="29">
        <f t="shared" si="98"/>
        <v>15</v>
      </c>
      <c r="W83" s="91"/>
      <c r="X83" s="62"/>
      <c r="Y83" s="34"/>
      <c r="Z83" s="34">
        <f t="shared" si="101"/>
        <v>12.75</v>
      </c>
      <c r="AA83" s="31"/>
      <c r="AB83" s="92">
        <v>0</v>
      </c>
      <c r="AC83" s="132">
        <v>-10</v>
      </c>
      <c r="AD83" s="93" t="str">
        <f t="shared" si="77"/>
        <v>Positive</v>
      </c>
      <c r="AE83" s="107">
        <f t="shared" si="78"/>
        <v>0.3</v>
      </c>
      <c r="AF83" s="106" t="b">
        <f t="shared" si="79"/>
        <v>1</v>
      </c>
      <c r="AG83" s="32"/>
      <c r="AH83" s="2"/>
      <c r="AI83" s="35"/>
      <c r="AJ83" s="36"/>
      <c r="AK83" s="32">
        <f>VLOOKUP(A83,Data!A:F,6,FALSE)</f>
        <v>10</v>
      </c>
      <c r="AL83" s="35">
        <f t="shared" si="94"/>
        <v>0.2</v>
      </c>
      <c r="AM83" s="141">
        <f t="shared" ref="AM83:AM84" si="102">AL83</f>
        <v>0.2</v>
      </c>
      <c r="AN83" s="27">
        <v>1.7</v>
      </c>
      <c r="AO83" s="27">
        <v>1.7</v>
      </c>
      <c r="AP83" s="153">
        <v>1</v>
      </c>
      <c r="AQ83" s="153">
        <f t="shared" si="73"/>
        <v>1.7</v>
      </c>
      <c r="AR83" s="161">
        <f>IF(AQ83&lt;[1]Sheet2!$D$2,[1]Sheet2!$D$2,IF(AQ83&lt;[1]Sheet2!$D$3,[1]Sheet2!$D$3,IF(AQ83&lt;[1]Sheet2!$D$4,[1]Sheet2!$D$4,IF(AQ83&lt;[1]Sheet2!$D$5,[1]Sheet2!$D$5,IF(AQ83&lt;[1]Sheet2!$D$6,[1]Sheet2!$D$6,IF(AQ83&lt;[1]Sheet2!$D$7,[1]Sheet2!$D$7,IF(AQ83&lt;[1]Sheet2!$D$8,[1]Sheet2!$D$8,IF(AQ83&lt;[1]Sheet2!$D$9,[1]Sheet2!$D$9,IF(AQ83&lt;[1]Sheet2!$D$10,[1]Sheet2!$D$10,IF(AQ83&lt;[1]Sheet2!$D$11,0))))))))))</f>
        <v>1.8</v>
      </c>
      <c r="AS83" s="2">
        <f>IF(AR83&lt;=Sheet2!$D$2,Sheet2!$C$2,IF(AR83&lt;=Sheet2!$D$3,Sheet2!$C$3,IF(AR83&lt;=Sheet2!$D$4,Sheet2!$C$4,IF(AR83&lt;=Sheet2!$D$5,Sheet2!$C$5,IF(AR83&lt;=Sheet2!$D$6,Sheet2!$C$6,IF(AR83&lt;=Sheet2!$D$7,Sheet2!$C$7,IF(AR83&lt;=Sheet2!$D$8,Sheet2!$C$8,IF(AR83&lt;=Sheet2!$D$9,Sheet2!$C$9,IF(AR83&lt;=Sheet2!$D$10,Sheet2!$C$10,IF(AR83&lt;=Sheet2!$D$11,Sheet2!$C$11,0))))))))))</f>
        <v>150</v>
      </c>
      <c r="AT83" s="2">
        <f t="shared" si="80"/>
        <v>135</v>
      </c>
      <c r="AU83" s="38"/>
      <c r="AV83" s="38"/>
      <c r="AW83" s="38"/>
      <c r="AX83" s="38"/>
      <c r="AY83" s="38">
        <f t="shared" si="74"/>
        <v>7.5</v>
      </c>
      <c r="AZ83" s="39">
        <f t="shared" si="81"/>
        <v>306</v>
      </c>
      <c r="BA83" s="161" t="s">
        <v>376</v>
      </c>
      <c r="BB83" s="31" t="str">
        <f>IF(AR83&lt;=Sheet2!$D$2,Sheet2!$B$2,IF(AR83&lt;=Sheet2!$D$3,Sheet2!$B$3,IF(AR83&lt;=Sheet2!$D$4,Sheet2!$B$4,IF(AR83&lt;=Sheet2!$D$5,Sheet2!$B$5,IF(AR83&lt;=Sheet2!$D$6,Sheet2!$B$6,IF(AR83&lt;=Sheet2!$D$7,Sheet2!$B$7,IF(AR83&lt;=Sheet2!$D$8,Sheet2!$B$8,IF(AR83&lt;=Sheet2!$D$9,Sheet2!$B$9,IF(AR83&lt;=Sheet2!$D$10,Sheet2!$B$10,IF(AR83&lt;=Sheet2!$D$11,Sheet2!$B$11,0))))))))))</f>
        <v>FXSQ25A</v>
      </c>
    </row>
    <row r="84" spans="1:54" ht="13.95" customHeight="1" thickBot="1" x14ac:dyDescent="0.35">
      <c r="A84" t="s">
        <v>9</v>
      </c>
      <c r="B84" s="3">
        <v>79</v>
      </c>
      <c r="C84" s="64" t="s">
        <v>337</v>
      </c>
      <c r="D84" s="13" t="s">
        <v>201</v>
      </c>
      <c r="E84" s="13" t="s">
        <v>265</v>
      </c>
      <c r="F84" s="26" t="s">
        <v>220</v>
      </c>
      <c r="G84" s="14">
        <f>12.8*5.2</f>
        <v>66.56</v>
      </c>
      <c r="H84" s="14">
        <f t="shared" si="82"/>
        <v>66.56</v>
      </c>
      <c r="I84" s="15">
        <v>15</v>
      </c>
      <c r="J84" s="41"/>
      <c r="K84" s="19">
        <f t="shared" si="36"/>
        <v>15</v>
      </c>
      <c r="L84" s="41">
        <v>0</v>
      </c>
      <c r="M84" s="17">
        <v>0</v>
      </c>
      <c r="N84" s="17">
        <f>VLOOKUP(A84,Data!A:B,2,FALSE)</f>
        <v>5</v>
      </c>
      <c r="O84" s="19">
        <f t="shared" ref="O84" si="103">L84</f>
        <v>0</v>
      </c>
      <c r="P84" s="16">
        <v>22</v>
      </c>
      <c r="Q84" s="14" t="s">
        <v>31</v>
      </c>
      <c r="R84" s="12">
        <f>VLOOKUP(A84,Data!A:D,4,FALSE)</f>
        <v>2.5</v>
      </c>
      <c r="S84" s="17">
        <f>VLOOKUP(A84,Data!A:C,3,FALSE)</f>
        <v>0.3</v>
      </c>
      <c r="T84" s="17"/>
      <c r="U84" s="17">
        <f t="shared" ref="U84:U115" si="104">R84*I84+S84*G84</f>
        <v>57.468000000000004</v>
      </c>
      <c r="V84" s="29">
        <f t="shared" si="98"/>
        <v>60</v>
      </c>
      <c r="W84" s="91">
        <v>-20</v>
      </c>
      <c r="X84" s="62"/>
      <c r="Y84" s="34"/>
      <c r="Z84" s="34">
        <f t="shared" si="101"/>
        <v>51</v>
      </c>
      <c r="AA84" s="31"/>
      <c r="AB84" s="92">
        <v>0</v>
      </c>
      <c r="AC84" s="132">
        <v>-20</v>
      </c>
      <c r="AD84" s="93" t="str">
        <f t="shared" si="77"/>
        <v>Positive</v>
      </c>
      <c r="AE84" s="107">
        <f t="shared" si="78"/>
        <v>0.36</v>
      </c>
      <c r="AF84" s="106" t="b">
        <f t="shared" si="79"/>
        <v>1</v>
      </c>
      <c r="AG84" s="16"/>
      <c r="AH84" s="17"/>
      <c r="AI84" s="18"/>
      <c r="AJ84" s="20"/>
      <c r="AK84" s="16">
        <f>VLOOKUP(A84,Data!A:F,6,FALSE)</f>
        <v>10</v>
      </c>
      <c r="AL84" s="18">
        <f t="shared" si="94"/>
        <v>0.66559999999999997</v>
      </c>
      <c r="AM84" s="140">
        <f t="shared" si="102"/>
        <v>0.66559999999999997</v>
      </c>
      <c r="AN84" s="27">
        <v>10</v>
      </c>
      <c r="AO84" s="27">
        <v>10</v>
      </c>
      <c r="AP84" s="153">
        <v>2</v>
      </c>
      <c r="AQ84" s="153">
        <f t="shared" si="73"/>
        <v>5</v>
      </c>
      <c r="AR84" s="161">
        <f>IF(AQ84&lt;[1]Sheet2!$D$2,[1]Sheet2!$D$2,IF(AQ84&lt;[1]Sheet2!$D$3,[1]Sheet2!$D$3,IF(AQ84&lt;[1]Sheet2!$D$4,[1]Sheet2!$D$4,IF(AQ84&lt;[1]Sheet2!$D$5,[1]Sheet2!$D$5,IF(AQ84&lt;[1]Sheet2!$D$6,[1]Sheet2!$D$6,IF(AQ84&lt;[1]Sheet2!$D$7,[1]Sheet2!$D$7,IF(AQ84&lt;[1]Sheet2!$D$8,[1]Sheet2!$D$8,IF(AQ84&lt;[1]Sheet2!$D$9,[1]Sheet2!$D$9,IF(AQ84&lt;[1]Sheet2!$D$10,[1]Sheet2!$D$10,IF(AQ84&lt;[1]Sheet2!$D$11,0))))))))))</f>
        <v>5.8</v>
      </c>
      <c r="AS84" s="2">
        <f>IF(AR84&lt;=Sheet2!$D$2,Sheet2!$C$2,IF(AR84&lt;=Sheet2!$D$3,Sheet2!$C$3,IF(AR84&lt;=Sheet2!$D$4,Sheet2!$C$4,IF(AR84&lt;=Sheet2!$D$5,Sheet2!$C$5,IF(AR84&lt;=Sheet2!$D$6,Sheet2!$C$6,IF(AR84&lt;=Sheet2!$D$7,Sheet2!$C$7,IF(AR84&lt;=Sheet2!$D$8,Sheet2!$C$8,IF(AR84&lt;=Sheet2!$D$9,Sheet2!$C$9,IF(AR84&lt;=Sheet2!$D$10,Sheet2!$C$10,IF(AR84&lt;=Sheet2!$D$11,Sheet2!$C$11,0))))))))))</f>
        <v>383</v>
      </c>
      <c r="AT84" s="2">
        <f t="shared" si="80"/>
        <v>323</v>
      </c>
      <c r="AU84" s="22"/>
      <c r="AV84" s="22"/>
      <c r="AW84" s="22"/>
      <c r="AX84" s="22"/>
      <c r="AY84" s="22">
        <f t="shared" si="74"/>
        <v>5.7542067307692308</v>
      </c>
      <c r="AZ84" s="39">
        <f t="shared" si="81"/>
        <v>296.2740384615384</v>
      </c>
      <c r="BA84" s="162" t="s">
        <v>376</v>
      </c>
      <c r="BB84" s="31" t="str">
        <f>IF(AR84&lt;=Sheet2!$D$2,Sheet2!$B$2,IF(AR84&lt;=Sheet2!$D$3,Sheet2!$B$3,IF(AR84&lt;=Sheet2!$D$4,Sheet2!$B$4,IF(AR84&lt;=Sheet2!$D$5,Sheet2!$B$5,IF(AR84&lt;=Sheet2!$D$6,Sheet2!$B$6,IF(AR84&lt;=Sheet2!$D$7,Sheet2!$B$7,IF(AR84&lt;=Sheet2!$D$8,Sheet2!$B$8,IF(AR84&lt;=Sheet2!$D$9,Sheet2!$B$9,IF(AR84&lt;=Sheet2!$D$10,Sheet2!$B$10,IF(AR84&lt;=Sheet2!$D$11,Sheet2!$B$11,0))))))))))</f>
        <v>FXSQ80A</v>
      </c>
    </row>
    <row r="85" spans="1:54" ht="15" thickBot="1" x14ac:dyDescent="0.35">
      <c r="A85" t="s">
        <v>284</v>
      </c>
      <c r="B85" s="3">
        <v>80</v>
      </c>
      <c r="C85" s="64" t="s">
        <v>337</v>
      </c>
      <c r="D85" s="27" t="s">
        <v>202</v>
      </c>
      <c r="E85" s="27" t="s">
        <v>266</v>
      </c>
      <c r="F85" s="28" t="s">
        <v>221</v>
      </c>
      <c r="G85" s="29">
        <f>8.2*5</f>
        <v>41</v>
      </c>
      <c r="H85" s="29">
        <f t="shared" si="82"/>
        <v>41</v>
      </c>
      <c r="I85" s="30">
        <v>12</v>
      </c>
      <c r="J85" s="42"/>
      <c r="K85" s="31">
        <f t="shared" si="36"/>
        <v>12</v>
      </c>
      <c r="L85" s="42"/>
      <c r="M85" s="2"/>
      <c r="N85" s="2">
        <f>VLOOKUP(A85,Data!A:B,2,FALSE)</f>
        <v>50</v>
      </c>
      <c r="O85" s="31"/>
      <c r="P85" s="32">
        <v>22</v>
      </c>
      <c r="Q85" s="29" t="s">
        <v>31</v>
      </c>
      <c r="R85" s="33">
        <f>VLOOKUP(A85,Data!A:D,4,FALSE)</f>
        <v>2.5</v>
      </c>
      <c r="S85" s="2">
        <f>VLOOKUP(A85,Data!A:C,3,FALSE)</f>
        <v>0.3</v>
      </c>
      <c r="T85" s="2"/>
      <c r="U85" s="2">
        <f t="shared" si="104"/>
        <v>42.3</v>
      </c>
      <c r="V85" s="29">
        <f t="shared" si="98"/>
        <v>45</v>
      </c>
      <c r="W85" s="91"/>
      <c r="X85" s="62"/>
      <c r="Y85" s="34"/>
      <c r="Z85" s="34">
        <f t="shared" si="101"/>
        <v>38.25</v>
      </c>
      <c r="AA85" s="31"/>
      <c r="AB85" s="92">
        <v>0</v>
      </c>
      <c r="AC85" s="132">
        <v>-30</v>
      </c>
      <c r="AD85" s="93" t="str">
        <f t="shared" si="77"/>
        <v>Positive</v>
      </c>
      <c r="AE85" s="107">
        <f t="shared" si="78"/>
        <v>0.44</v>
      </c>
      <c r="AF85" s="106" t="b">
        <f t="shared" si="79"/>
        <v>1</v>
      </c>
      <c r="AG85" s="32"/>
      <c r="AH85" s="2"/>
      <c r="AI85" s="35"/>
      <c r="AJ85" s="36"/>
      <c r="AK85" s="32">
        <f>VLOOKUP(A85,Data!A:F,6,FALSE)</f>
        <v>10</v>
      </c>
      <c r="AL85" s="35">
        <f t="shared" si="94"/>
        <v>0.41</v>
      </c>
      <c r="AM85" s="141">
        <f t="shared" ref="AM85:AM86" si="105">AL85</f>
        <v>0.41</v>
      </c>
      <c r="AN85" s="27">
        <v>3.7</v>
      </c>
      <c r="AO85" s="27">
        <v>3.7</v>
      </c>
      <c r="AP85" s="153">
        <v>1</v>
      </c>
      <c r="AQ85" s="153">
        <f t="shared" si="73"/>
        <v>3.7</v>
      </c>
      <c r="AR85" s="161">
        <f>IF(AQ85&lt;[1]Sheet2!$D$2,[1]Sheet2!$D$2,IF(AQ85&lt;[1]Sheet2!$D$3,[1]Sheet2!$D$3,IF(AQ85&lt;[1]Sheet2!$D$4,[1]Sheet2!$D$4,IF(AQ85&lt;[1]Sheet2!$D$5,[1]Sheet2!$D$5,IF(AQ85&lt;[1]Sheet2!$D$6,[1]Sheet2!$D$6,IF(AQ85&lt;[1]Sheet2!$D$7,[1]Sheet2!$D$7,IF(AQ85&lt;[1]Sheet2!$D$8,[1]Sheet2!$D$8,IF(AQ85&lt;[1]Sheet2!$D$9,[1]Sheet2!$D$9,IF(AQ85&lt;[1]Sheet2!$D$10,[1]Sheet2!$D$10,IF(AQ85&lt;[1]Sheet2!$D$11,0))))))))))</f>
        <v>4.5999999999999996</v>
      </c>
      <c r="AS85" s="2">
        <f>IF(AR85&lt;=Sheet2!$D$2,Sheet2!$C$2,IF(AR85&lt;=Sheet2!$D$3,Sheet2!$C$3,IF(AR85&lt;=Sheet2!$D$4,Sheet2!$C$4,IF(AR85&lt;=Sheet2!$D$5,Sheet2!$C$5,IF(AR85&lt;=Sheet2!$D$6,Sheet2!$C$6,IF(AR85&lt;=Sheet2!$D$7,Sheet2!$C$7,IF(AR85&lt;=Sheet2!$D$8,Sheet2!$C$8,IF(AR85&lt;=Sheet2!$D$9,Sheet2!$C$9,IF(AR85&lt;=Sheet2!$D$10,Sheet2!$C$10,IF(AR85&lt;=Sheet2!$D$11,Sheet2!$C$11,0))))))))))</f>
        <v>350</v>
      </c>
      <c r="AT85" s="2">
        <f t="shared" si="80"/>
        <v>305</v>
      </c>
      <c r="AU85" s="38"/>
      <c r="AV85" s="38"/>
      <c r="AW85" s="38"/>
      <c r="AX85" s="38"/>
      <c r="AY85" s="38">
        <f t="shared" si="74"/>
        <v>8.536585365853659</v>
      </c>
      <c r="AZ85" s="39">
        <f t="shared" si="81"/>
        <v>381.46341463414632</v>
      </c>
      <c r="BA85" s="161" t="s">
        <v>377</v>
      </c>
      <c r="BB85" s="31" t="str">
        <f>IF(AR85&lt;=Sheet2!$D$2,Sheet2!$B$2,IF(AR85&lt;=Sheet2!$D$3,Sheet2!$B$3,IF(AR85&lt;=Sheet2!$D$4,Sheet2!$B$4,IF(AR85&lt;=Sheet2!$D$5,Sheet2!$B$5,IF(AR85&lt;=Sheet2!$D$6,Sheet2!$B$6,IF(AR85&lt;=Sheet2!$D$7,Sheet2!$B$7,IF(AR85&lt;=Sheet2!$D$8,Sheet2!$B$8,IF(AR85&lt;=Sheet2!$D$9,Sheet2!$B$9,IF(AR85&lt;=Sheet2!$D$10,Sheet2!$B$10,IF(AR85&lt;=Sheet2!$D$11,Sheet2!$B$11,0))))))))))</f>
        <v>FXSQ63A</v>
      </c>
    </row>
    <row r="86" spans="1:54" ht="13.95" customHeight="1" thickBot="1" x14ac:dyDescent="0.35">
      <c r="A86" t="s">
        <v>9</v>
      </c>
      <c r="B86" s="3">
        <v>81</v>
      </c>
      <c r="C86" s="64" t="s">
        <v>337</v>
      </c>
      <c r="D86" s="13" t="s">
        <v>203</v>
      </c>
      <c r="E86" s="13" t="s">
        <v>267</v>
      </c>
      <c r="F86" s="26" t="s">
        <v>222</v>
      </c>
      <c r="G86" s="14">
        <f>9*5.2</f>
        <v>46.800000000000004</v>
      </c>
      <c r="H86" s="14">
        <f t="shared" si="82"/>
        <v>46.800000000000004</v>
      </c>
      <c r="I86" s="15">
        <v>13</v>
      </c>
      <c r="J86" s="41"/>
      <c r="K86" s="19">
        <f t="shared" si="36"/>
        <v>13</v>
      </c>
      <c r="L86" s="41">
        <v>0</v>
      </c>
      <c r="M86" s="17">
        <v>0</v>
      </c>
      <c r="N86" s="17">
        <f>VLOOKUP(A86,Data!A:B,2,FALSE)</f>
        <v>5</v>
      </c>
      <c r="O86" s="19">
        <f t="shared" ref="O86" si="106">L86</f>
        <v>0</v>
      </c>
      <c r="P86" s="16">
        <v>22</v>
      </c>
      <c r="Q86" s="14" t="s">
        <v>31</v>
      </c>
      <c r="R86" s="12">
        <f>VLOOKUP(A86,Data!A:D,4,FALSE)</f>
        <v>2.5</v>
      </c>
      <c r="S86" s="17">
        <f>VLOOKUP(A86,Data!A:C,3,FALSE)</f>
        <v>0.3</v>
      </c>
      <c r="T86" s="17"/>
      <c r="U86" s="17">
        <f t="shared" si="104"/>
        <v>46.54</v>
      </c>
      <c r="V86" s="29">
        <v>45</v>
      </c>
      <c r="W86" s="91">
        <v>-20</v>
      </c>
      <c r="X86" s="62"/>
      <c r="Y86" s="34"/>
      <c r="Z86" s="34">
        <f t="shared" si="101"/>
        <v>38.25</v>
      </c>
      <c r="AA86" s="31"/>
      <c r="AB86" s="92">
        <v>0</v>
      </c>
      <c r="AC86" s="132">
        <v>-10</v>
      </c>
      <c r="AD86" s="93" t="str">
        <f t="shared" si="77"/>
        <v>Positive</v>
      </c>
      <c r="AE86" s="107">
        <f t="shared" si="78"/>
        <v>0.38</v>
      </c>
      <c r="AF86" s="106" t="b">
        <f t="shared" si="79"/>
        <v>1</v>
      </c>
      <c r="AG86" s="16"/>
      <c r="AH86" s="17"/>
      <c r="AI86" s="18"/>
      <c r="AJ86" s="20"/>
      <c r="AK86" s="16">
        <f>VLOOKUP(A86,Data!A:F,6,FALSE)</f>
        <v>10</v>
      </c>
      <c r="AL86" s="18">
        <f t="shared" si="94"/>
        <v>0.46800000000000008</v>
      </c>
      <c r="AM86" s="140">
        <f t="shared" si="105"/>
        <v>0.46800000000000008</v>
      </c>
      <c r="AN86" s="27">
        <v>7.1</v>
      </c>
      <c r="AO86" s="27">
        <v>7.1</v>
      </c>
      <c r="AP86" s="153">
        <v>1</v>
      </c>
      <c r="AQ86" s="153">
        <f t="shared" si="73"/>
        <v>7.1</v>
      </c>
      <c r="AR86" s="161">
        <f>IF(AQ86&lt;[1]Sheet2!$D$2,[1]Sheet2!$D$2,IF(AQ86&lt;[1]Sheet2!$D$3,[1]Sheet2!$D$3,IF(AQ86&lt;[1]Sheet2!$D$4,[1]Sheet2!$D$4,IF(AQ86&lt;[1]Sheet2!$D$5,[1]Sheet2!$D$5,IF(AQ86&lt;[1]Sheet2!$D$6,[1]Sheet2!$D$6,IF(AQ86&lt;[1]Sheet2!$D$7,[1]Sheet2!$D$7,IF(AQ86&lt;[1]Sheet2!$D$8,[1]Sheet2!$D$8,IF(AQ86&lt;[1]Sheet2!$D$9,[1]Sheet2!$D$9,IF(AQ86&lt;[1]Sheet2!$D$10,[1]Sheet2!$D$10,IF(AQ86&lt;[1]Sheet2!$D$11,0))))))))))</f>
        <v>7.4</v>
      </c>
      <c r="AS86" s="2">
        <f>IF(AR86&lt;=Sheet2!$D$2,Sheet2!$C$2,IF(AR86&lt;=Sheet2!$D$3,Sheet2!$C$3,IF(AR86&lt;=Sheet2!$D$4,Sheet2!$C$4,IF(AR86&lt;=Sheet2!$D$5,Sheet2!$C$5,IF(AR86&lt;=Sheet2!$D$6,Sheet2!$C$6,IF(AR86&lt;=Sheet2!$D$7,Sheet2!$C$7,IF(AR86&lt;=Sheet2!$D$8,Sheet2!$C$8,IF(AR86&lt;=Sheet2!$D$9,Sheet2!$C$9,IF(AR86&lt;=Sheet2!$D$10,Sheet2!$C$10,IF(AR86&lt;=Sheet2!$D$11,Sheet2!$C$11,0))))))))))</f>
        <v>533</v>
      </c>
      <c r="AT86" s="2">
        <f t="shared" si="80"/>
        <v>488</v>
      </c>
      <c r="AU86" s="22"/>
      <c r="AV86" s="22"/>
      <c r="AW86" s="22"/>
      <c r="AX86" s="22"/>
      <c r="AY86" s="22">
        <f t="shared" si="74"/>
        <v>11.388888888888888</v>
      </c>
      <c r="AZ86" s="39">
        <f t="shared" si="81"/>
        <v>537.60683760683753</v>
      </c>
      <c r="BA86" s="162" t="s">
        <v>377</v>
      </c>
      <c r="BB86" s="31" t="str">
        <f>IF(AR86&lt;=Sheet2!$D$2,Sheet2!$B$2,IF(AR86&lt;=Sheet2!$D$3,Sheet2!$B$3,IF(AR86&lt;=Sheet2!$D$4,Sheet2!$B$4,IF(AR86&lt;=Sheet2!$D$5,Sheet2!$B$5,IF(AR86&lt;=Sheet2!$D$6,Sheet2!$B$6,IF(AR86&lt;=Sheet2!$D$7,Sheet2!$B$7,IF(AR86&lt;=Sheet2!$D$8,Sheet2!$B$8,IF(AR86&lt;=Sheet2!$D$9,Sheet2!$B$9,IF(AR86&lt;=Sheet2!$D$10,Sheet2!$B$10,IF(AR86&lt;=Sheet2!$D$11,Sheet2!$B$11,0))))))))))</f>
        <v>FXSQ100A</v>
      </c>
    </row>
    <row r="87" spans="1:54" ht="15" thickBot="1" x14ac:dyDescent="0.35">
      <c r="A87" t="s">
        <v>9</v>
      </c>
      <c r="B87" s="3">
        <v>82</v>
      </c>
      <c r="C87" s="64" t="s">
        <v>339</v>
      </c>
      <c r="D87" s="27" t="s">
        <v>204</v>
      </c>
      <c r="E87" s="27" t="s">
        <v>268</v>
      </c>
      <c r="F87" s="28" t="s">
        <v>223</v>
      </c>
      <c r="G87" s="29">
        <f>4*5</f>
        <v>20</v>
      </c>
      <c r="H87" s="29">
        <f t="shared" si="82"/>
        <v>20</v>
      </c>
      <c r="I87" s="30">
        <v>3</v>
      </c>
      <c r="J87" s="42"/>
      <c r="K87" s="31">
        <f t="shared" si="36"/>
        <v>3</v>
      </c>
      <c r="L87" s="42"/>
      <c r="M87" s="2"/>
      <c r="N87" s="2">
        <f>VLOOKUP(A87,Data!A:B,2,FALSE)</f>
        <v>5</v>
      </c>
      <c r="O87" s="31"/>
      <c r="P87" s="32">
        <v>22</v>
      </c>
      <c r="Q87" s="29" t="s">
        <v>31</v>
      </c>
      <c r="R87" s="33">
        <f>VLOOKUP(A87,Data!A:D,4,FALSE)</f>
        <v>2.5</v>
      </c>
      <c r="S87" s="2">
        <f>VLOOKUP(A87,Data!A:C,3,FALSE)</f>
        <v>0.3</v>
      </c>
      <c r="T87" s="2"/>
      <c r="U87" s="2">
        <f t="shared" si="104"/>
        <v>13.5</v>
      </c>
      <c r="V87" s="29">
        <f t="shared" si="98"/>
        <v>15</v>
      </c>
      <c r="W87" s="91">
        <v>-10</v>
      </c>
      <c r="X87" s="62"/>
      <c r="Y87" s="34"/>
      <c r="Z87" s="34">
        <f t="shared" si="101"/>
        <v>12.75</v>
      </c>
      <c r="AA87" s="31">
        <v>0</v>
      </c>
      <c r="AB87" s="92">
        <v>0</v>
      </c>
      <c r="AC87" s="132"/>
      <c r="AD87" s="93" t="str">
        <f t="shared" si="77"/>
        <v>Positive</v>
      </c>
      <c r="AE87" s="107">
        <f t="shared" si="78"/>
        <v>0.3</v>
      </c>
      <c r="AF87" s="106" t="b">
        <f t="shared" si="79"/>
        <v>1</v>
      </c>
      <c r="AG87" s="32"/>
      <c r="AH87" s="2"/>
      <c r="AI87" s="35"/>
      <c r="AJ87" s="36"/>
      <c r="AK87" s="32">
        <f>VLOOKUP(A87,Data!A:F,6,FALSE)</f>
        <v>10</v>
      </c>
      <c r="AL87" s="35">
        <f t="shared" si="94"/>
        <v>0.2</v>
      </c>
      <c r="AM87" s="141">
        <f t="shared" si="95"/>
        <v>0.2</v>
      </c>
      <c r="AN87" s="142"/>
      <c r="AO87" s="142"/>
      <c r="AP87" s="155">
        <v>1</v>
      </c>
      <c r="AQ87" s="155">
        <f t="shared" si="73"/>
        <v>0</v>
      </c>
      <c r="AR87" s="161">
        <v>1.7</v>
      </c>
      <c r="AS87" s="2">
        <f>IF(AR87&lt;=Sheet2!$D$2,Sheet2!$C$2,IF(AR87&lt;=Sheet2!$D$3,Sheet2!$C$3,IF(AR87&lt;=Sheet2!$D$4,Sheet2!$C$4,IF(AR87&lt;=Sheet2!$D$5,Sheet2!$C$5,IF(AR87&lt;=Sheet2!$D$6,Sheet2!$C$6,IF(AR87&lt;=Sheet2!$D$7,Sheet2!$C$7,IF(AR87&lt;=Sheet2!$D$8,Sheet2!$C$8,IF(AR87&lt;=Sheet2!$D$9,Sheet2!$C$9,IF(AR87&lt;=Sheet2!$D$10,Sheet2!$C$10,IF(AR87&lt;=Sheet2!$D$11,Sheet2!$C$11,0))))))))))</f>
        <v>150</v>
      </c>
      <c r="AT87" s="2">
        <f t="shared" si="80"/>
        <v>135</v>
      </c>
      <c r="AU87" s="38"/>
      <c r="AV87" s="38"/>
      <c r="AW87" s="38"/>
      <c r="AX87" s="38"/>
      <c r="AY87" s="38">
        <f t="shared" si="74"/>
        <v>7.5</v>
      </c>
      <c r="AZ87" s="39">
        <f t="shared" si="81"/>
        <v>288.99999999999994</v>
      </c>
      <c r="BA87" s="161" t="s">
        <v>377</v>
      </c>
      <c r="BB87" s="31" t="str">
        <f>IF(AR87&lt;=Sheet2!$D$2,Sheet2!$B$2,IF(AR87&lt;=Sheet2!$D$3,Sheet2!$B$3,IF(AR87&lt;=Sheet2!$D$4,Sheet2!$B$4,IF(AR87&lt;=Sheet2!$D$5,Sheet2!$B$5,IF(AR87&lt;=Sheet2!$D$6,Sheet2!$B$6,IF(AR87&lt;=Sheet2!$D$7,Sheet2!$B$7,IF(AR87&lt;=Sheet2!$D$8,Sheet2!$B$8,IF(AR87&lt;=Sheet2!$D$9,Sheet2!$B$9,IF(AR87&lt;=Sheet2!$D$10,Sheet2!$B$10,IF(AR87&lt;=Sheet2!$D$11,Sheet2!$B$11,0))))))))))</f>
        <v>FXSQ25A</v>
      </c>
    </row>
    <row r="88" spans="1:54" ht="13.95" customHeight="1" thickBot="1" x14ac:dyDescent="0.35">
      <c r="A88" t="s">
        <v>110</v>
      </c>
      <c r="B88" s="3">
        <v>83</v>
      </c>
      <c r="C88" s="64" t="s">
        <v>337</v>
      </c>
      <c r="D88" s="13" t="s">
        <v>205</v>
      </c>
      <c r="E88" s="13" t="s">
        <v>262</v>
      </c>
      <c r="F88" s="26" t="s">
        <v>217</v>
      </c>
      <c r="G88" s="14">
        <f>4*2.5</f>
        <v>10</v>
      </c>
      <c r="H88" s="14">
        <f t="shared" si="82"/>
        <v>10</v>
      </c>
      <c r="I88" s="15">
        <v>1</v>
      </c>
      <c r="J88" s="41"/>
      <c r="K88" s="19">
        <f t="shared" si="36"/>
        <v>1</v>
      </c>
      <c r="L88" s="41">
        <v>0</v>
      </c>
      <c r="M88" s="17">
        <v>0</v>
      </c>
      <c r="N88" s="17">
        <f>VLOOKUP(A88,Data!A:B,2,FALSE)</f>
        <v>0</v>
      </c>
      <c r="O88" s="19">
        <f t="shared" ref="O88" si="107">L88</f>
        <v>0</v>
      </c>
      <c r="P88" s="16">
        <v>22</v>
      </c>
      <c r="Q88" s="14" t="s">
        <v>31</v>
      </c>
      <c r="R88" s="12">
        <f>VLOOKUP(A88,Data!A:D,4,FALSE)</f>
        <v>0</v>
      </c>
      <c r="S88" s="17">
        <f>VLOOKUP(A88,Data!A:C,3,FALSE)</f>
        <v>0</v>
      </c>
      <c r="T88" s="17"/>
      <c r="U88" s="17">
        <f t="shared" si="104"/>
        <v>0</v>
      </c>
      <c r="V88" s="29">
        <f t="shared" si="98"/>
        <v>0</v>
      </c>
      <c r="W88" s="91">
        <v>20</v>
      </c>
      <c r="X88" s="62">
        <v>25</v>
      </c>
      <c r="Y88" s="34">
        <v>1</v>
      </c>
      <c r="Z88" s="34">
        <f>X88*Y88</f>
        <v>25</v>
      </c>
      <c r="AA88" s="31">
        <f t="shared" si="76"/>
        <v>25</v>
      </c>
      <c r="AB88" s="92">
        <f>(CEILING(AA88,1))*-1</f>
        <v>-25</v>
      </c>
      <c r="AC88" s="132"/>
      <c r="AD88" s="93" t="str">
        <f t="shared" si="77"/>
        <v>Negative</v>
      </c>
      <c r="AE88" s="107">
        <f t="shared" si="78"/>
        <v>0.6</v>
      </c>
      <c r="AF88" s="106" t="b">
        <f t="shared" si="79"/>
        <v>1</v>
      </c>
      <c r="AG88" s="16"/>
      <c r="AH88" s="17"/>
      <c r="AI88" s="18"/>
      <c r="AJ88" s="20"/>
      <c r="AK88" s="16">
        <f>VLOOKUP(A88,Data!A:F,6,FALSE)</f>
        <v>10</v>
      </c>
      <c r="AL88" s="18">
        <f t="shared" si="94"/>
        <v>0.1</v>
      </c>
      <c r="AM88" s="140">
        <f t="shared" si="95"/>
        <v>0.1</v>
      </c>
      <c r="AN88" s="27">
        <v>1.9</v>
      </c>
      <c r="AO88" s="27">
        <v>1.8</v>
      </c>
      <c r="AP88" s="153">
        <v>1</v>
      </c>
      <c r="AQ88" s="153">
        <f t="shared" si="73"/>
        <v>1.8</v>
      </c>
      <c r="AR88" s="161">
        <f>IF(AQ88&lt;[1]Sheet2!$D$2,[1]Sheet2!$D$2,IF(AQ88&lt;[1]Sheet2!$D$3,[1]Sheet2!$D$3,IF(AQ88&lt;[1]Sheet2!$D$4,[1]Sheet2!$D$4,IF(AQ88&lt;[1]Sheet2!$D$5,[1]Sheet2!$D$5,IF(AQ88&lt;[1]Sheet2!$D$6,[1]Sheet2!$D$6,IF(AQ88&lt;[1]Sheet2!$D$7,[1]Sheet2!$D$7,IF(AQ88&lt;[1]Sheet2!$D$8,[1]Sheet2!$D$8,IF(AQ88&lt;[1]Sheet2!$D$9,[1]Sheet2!$D$9,IF(AQ88&lt;[1]Sheet2!$D$10,[1]Sheet2!$D$10,IF(AQ88&lt;[1]Sheet2!$D$11,0))))))))))</f>
        <v>2.4</v>
      </c>
      <c r="AS88" s="2">
        <f>IF(AR88&lt;=Sheet2!$D$2,Sheet2!$C$2,IF(AR88&lt;=Sheet2!$D$3,Sheet2!$C$3,IF(AR88&lt;=Sheet2!$D$4,Sheet2!$C$4,IF(AR88&lt;=Sheet2!$D$5,Sheet2!$C$5,IF(AR88&lt;=Sheet2!$D$6,Sheet2!$C$6,IF(AR88&lt;=Sheet2!$D$7,Sheet2!$C$7,IF(AR88&lt;=Sheet2!$D$8,Sheet2!$C$8,IF(AR88&lt;=Sheet2!$D$9,Sheet2!$C$9,IF(AR88&lt;=Sheet2!$D$10,Sheet2!$C$10,IF(AR88&lt;=Sheet2!$D$11,Sheet2!$C$11,0))))))))))</f>
        <v>158</v>
      </c>
      <c r="AT88" s="2">
        <f t="shared" si="80"/>
        <v>158</v>
      </c>
      <c r="AU88" s="22"/>
      <c r="AV88" s="22"/>
      <c r="AW88" s="22"/>
      <c r="AX88" s="22"/>
      <c r="AY88" s="22">
        <f t="shared" si="74"/>
        <v>15.8</v>
      </c>
      <c r="AZ88" s="39">
        <f t="shared" si="81"/>
        <v>816</v>
      </c>
      <c r="BA88" s="162" t="s">
        <v>377</v>
      </c>
      <c r="BB88" s="31" t="str">
        <f>IF(AR88&lt;=Sheet2!$D$2,Sheet2!$B$2,IF(AR88&lt;=Sheet2!$D$3,Sheet2!$B$3,IF(AR88&lt;=Sheet2!$D$4,Sheet2!$B$4,IF(AR88&lt;=Sheet2!$D$5,Sheet2!$B$5,IF(AR88&lt;=Sheet2!$D$6,Sheet2!$B$6,IF(AR88&lt;=Sheet2!$D$7,Sheet2!$B$7,IF(AR88&lt;=Sheet2!$D$8,Sheet2!$B$8,IF(AR88&lt;=Sheet2!$D$9,Sheet2!$B$9,IF(AR88&lt;=Sheet2!$D$10,Sheet2!$B$10,IF(AR88&lt;=Sheet2!$D$11,Sheet2!$B$11,0))))))))))</f>
        <v>FXSQ32A</v>
      </c>
    </row>
    <row r="89" spans="1:54" ht="15" thickBot="1" x14ac:dyDescent="0.35">
      <c r="A89" t="s">
        <v>9</v>
      </c>
      <c r="B89" s="3">
        <v>84</v>
      </c>
      <c r="C89" s="64" t="s">
        <v>339</v>
      </c>
      <c r="D89" s="27" t="s">
        <v>206</v>
      </c>
      <c r="E89" s="27" t="s">
        <v>269</v>
      </c>
      <c r="F89" s="28" t="s">
        <v>224</v>
      </c>
      <c r="G89" s="29">
        <f>5*7.2+3*2.5</f>
        <v>43.5</v>
      </c>
      <c r="H89" s="29">
        <f t="shared" si="82"/>
        <v>43.5</v>
      </c>
      <c r="I89" s="30">
        <v>3</v>
      </c>
      <c r="J89" s="42"/>
      <c r="K89" s="31">
        <f t="shared" si="36"/>
        <v>3</v>
      </c>
      <c r="L89" s="42"/>
      <c r="M89" s="2"/>
      <c r="N89" s="2">
        <f>VLOOKUP(A89,Data!A:B,2,FALSE)</f>
        <v>5</v>
      </c>
      <c r="O89" s="31"/>
      <c r="P89" s="32">
        <v>22</v>
      </c>
      <c r="Q89" s="29" t="s">
        <v>31</v>
      </c>
      <c r="R89" s="33">
        <f>VLOOKUP(A89,Data!A:D,4,FALSE)</f>
        <v>2.5</v>
      </c>
      <c r="S89" s="2">
        <f>VLOOKUP(A89,Data!A:C,3,FALSE)</f>
        <v>0.3</v>
      </c>
      <c r="T89" s="2"/>
      <c r="U89" s="2">
        <f t="shared" si="104"/>
        <v>20.549999999999997</v>
      </c>
      <c r="V89" s="29">
        <f t="shared" si="98"/>
        <v>25</v>
      </c>
      <c r="W89" s="91">
        <v>-10</v>
      </c>
      <c r="X89" s="62"/>
      <c r="Y89" s="34"/>
      <c r="Z89" s="34">
        <f t="shared" si="101"/>
        <v>21.25</v>
      </c>
      <c r="AA89" s="31">
        <v>0</v>
      </c>
      <c r="AB89" s="92">
        <v>0</v>
      </c>
      <c r="AC89" s="132"/>
      <c r="AD89" s="93" t="str">
        <f t="shared" si="77"/>
        <v>Positive</v>
      </c>
      <c r="AE89" s="107">
        <f t="shared" si="78"/>
        <v>0.41</v>
      </c>
      <c r="AF89" s="106" t="b">
        <f t="shared" si="79"/>
        <v>1</v>
      </c>
      <c r="AG89" s="32"/>
      <c r="AH89" s="2"/>
      <c r="AI89" s="35"/>
      <c r="AJ89" s="36"/>
      <c r="AK89" s="32">
        <f>VLOOKUP(A89,Data!A:F,6,FALSE)</f>
        <v>10</v>
      </c>
      <c r="AL89" s="35">
        <f t="shared" si="94"/>
        <v>0.435</v>
      </c>
      <c r="AM89" s="36">
        <f t="shared" ref="AM89:AM90" si="108">AL89</f>
        <v>0.435</v>
      </c>
      <c r="AN89" s="143"/>
      <c r="AO89" s="142"/>
      <c r="AP89" s="155">
        <v>1</v>
      </c>
      <c r="AQ89" s="155">
        <f t="shared" si="73"/>
        <v>0</v>
      </c>
      <c r="AR89" s="161">
        <v>4</v>
      </c>
      <c r="AS89" s="2">
        <f>IF(AR89&lt;=Sheet2!$D$2,Sheet2!$C$2,IF(AR89&lt;=Sheet2!$D$3,Sheet2!$C$3,IF(AR89&lt;=Sheet2!$D$4,Sheet2!$C$4,IF(AR89&lt;=Sheet2!$D$5,Sheet2!$C$5,IF(AR89&lt;=Sheet2!$D$6,Sheet2!$C$6,IF(AR89&lt;=Sheet2!$D$7,Sheet2!$C$7,IF(AR89&lt;=Sheet2!$D$8,Sheet2!$C$8,IF(AR89&lt;=Sheet2!$D$9,Sheet2!$C$9,IF(AR89&lt;=Sheet2!$D$10,Sheet2!$C$10,IF(AR89&lt;=Sheet2!$D$11,Sheet2!$C$11,0))))))))))</f>
        <v>350</v>
      </c>
      <c r="AT89" s="2">
        <f t="shared" si="80"/>
        <v>325</v>
      </c>
      <c r="AU89" s="38"/>
      <c r="AV89" s="38"/>
      <c r="AW89" s="38"/>
      <c r="AX89" s="38"/>
      <c r="AY89" s="38">
        <f t="shared" si="74"/>
        <v>8.0459770114942533</v>
      </c>
      <c r="AZ89" s="39">
        <f t="shared" si="81"/>
        <v>312.64367816091954</v>
      </c>
      <c r="BA89" s="161" t="s">
        <v>377</v>
      </c>
      <c r="BB89" s="31" t="str">
        <f>IF(AR89&lt;=Sheet2!$D$2,Sheet2!$B$2,IF(AR89&lt;=Sheet2!$D$3,Sheet2!$B$3,IF(AR89&lt;=Sheet2!$D$4,Sheet2!$B$4,IF(AR89&lt;=Sheet2!$D$5,Sheet2!$B$5,IF(AR89&lt;=Sheet2!$D$6,Sheet2!$B$6,IF(AR89&lt;=Sheet2!$D$7,Sheet2!$B$7,IF(AR89&lt;=Sheet2!$D$8,Sheet2!$B$8,IF(AR89&lt;=Sheet2!$D$9,Sheet2!$B$9,IF(AR89&lt;=Sheet2!$D$10,Sheet2!$B$10,IF(AR89&lt;=Sheet2!$D$11,Sheet2!$B$11,0))))))))))</f>
        <v>FXSQ63A</v>
      </c>
    </row>
    <row r="90" spans="1:54" ht="13.95" customHeight="1" thickBot="1" x14ac:dyDescent="0.35">
      <c r="A90" t="s">
        <v>110</v>
      </c>
      <c r="B90" s="3">
        <v>85</v>
      </c>
      <c r="C90" s="64" t="s">
        <v>339</v>
      </c>
      <c r="D90" s="13" t="s">
        <v>207</v>
      </c>
      <c r="E90" s="13" t="s">
        <v>166</v>
      </c>
      <c r="F90" s="26" t="s">
        <v>144</v>
      </c>
      <c r="G90" s="14">
        <f>4.6*5.7+1.8*2.5</f>
        <v>30.72</v>
      </c>
      <c r="H90" s="14">
        <f t="shared" si="82"/>
        <v>30.72</v>
      </c>
      <c r="I90" s="15">
        <v>6</v>
      </c>
      <c r="J90" s="41"/>
      <c r="K90" s="19">
        <f t="shared" si="36"/>
        <v>6</v>
      </c>
      <c r="L90" s="41">
        <v>0</v>
      </c>
      <c r="M90" s="17">
        <v>0</v>
      </c>
      <c r="N90" s="17">
        <f>VLOOKUP(A90,Data!A:B,2,FALSE)</f>
        <v>0</v>
      </c>
      <c r="O90" s="19">
        <f t="shared" ref="O90" si="109">L90</f>
        <v>0</v>
      </c>
      <c r="P90" s="16">
        <v>22</v>
      </c>
      <c r="Q90" s="14" t="s">
        <v>31</v>
      </c>
      <c r="R90" s="12">
        <f>VLOOKUP(A90,Data!A:D,4,FALSE)</f>
        <v>0</v>
      </c>
      <c r="S90" s="17">
        <f>VLOOKUP(A90,Data!A:C,3,FALSE)</f>
        <v>0</v>
      </c>
      <c r="T90" s="17"/>
      <c r="U90" s="17">
        <f>Z90*0.85</f>
        <v>127.5</v>
      </c>
      <c r="V90" s="95">
        <v>0</v>
      </c>
      <c r="W90" s="91">
        <v>135</v>
      </c>
      <c r="X90" s="62">
        <v>25</v>
      </c>
      <c r="Y90" s="34">
        <v>6</v>
      </c>
      <c r="Z90" s="34">
        <f>Y90*X90</f>
        <v>150</v>
      </c>
      <c r="AA90" s="31">
        <f t="shared" si="76"/>
        <v>150</v>
      </c>
      <c r="AB90" s="92">
        <f>(CEILING(AA90,1))*-1</f>
        <v>-150</v>
      </c>
      <c r="AC90" s="132"/>
      <c r="AD90" s="93" t="str">
        <f t="shared" si="77"/>
        <v>Negative</v>
      </c>
      <c r="AE90" s="107">
        <f t="shared" si="78"/>
        <v>0.59</v>
      </c>
      <c r="AF90" s="106" t="b">
        <f t="shared" si="79"/>
        <v>1</v>
      </c>
      <c r="AG90" s="16"/>
      <c r="AH90" s="17"/>
      <c r="AI90" s="18"/>
      <c r="AJ90" s="20"/>
      <c r="AK90" s="16">
        <f>VLOOKUP(A90,Data!A:F,6,FALSE)</f>
        <v>10</v>
      </c>
      <c r="AL90" s="18">
        <f t="shared" si="94"/>
        <v>0.30719999999999997</v>
      </c>
      <c r="AM90" s="20">
        <f t="shared" si="108"/>
        <v>0.30719999999999997</v>
      </c>
      <c r="AN90" s="21"/>
      <c r="AO90" s="22"/>
      <c r="AP90" s="152">
        <v>1</v>
      </c>
      <c r="AQ90" s="152">
        <f t="shared" si="73"/>
        <v>0</v>
      </c>
      <c r="AR90" s="162">
        <v>3.3</v>
      </c>
      <c r="AS90" s="17">
        <f>IF(AR90&lt;=Sheet2!$D$2,Sheet2!$C$2,IF(AR90&lt;=Sheet2!$D$3,Sheet2!$C$3,IF(AR90&lt;=Sheet2!$D$4,Sheet2!$C$4,IF(AR90&lt;=Sheet2!$D$5,Sheet2!$C$5,IF(AR90&lt;=Sheet2!$D$6,Sheet2!$C$6,IF(AR90&lt;=Sheet2!$D$7,Sheet2!$C$7,IF(AR90&lt;=Sheet2!$D$8,Sheet2!$C$8,IF(AR90&lt;=Sheet2!$D$9,Sheet2!$C$9,IF(AR90&lt;=Sheet2!$D$10,Sheet2!$C$10,IF(AR90&lt;=Sheet2!$D$11,Sheet2!$C$11,0))))))))))</f>
        <v>253</v>
      </c>
      <c r="AT90" s="2">
        <f t="shared" si="80"/>
        <v>253</v>
      </c>
      <c r="AU90" s="22"/>
      <c r="AV90" s="22"/>
      <c r="AW90" s="22"/>
      <c r="AX90" s="22"/>
      <c r="AY90" s="22">
        <f t="shared" si="74"/>
        <v>8.2356770833333339</v>
      </c>
      <c r="AZ90" s="39">
        <f t="shared" si="81"/>
        <v>365.234375</v>
      </c>
      <c r="BA90" s="162" t="s">
        <v>377</v>
      </c>
      <c r="BB90" s="31" t="str">
        <f>IF(AR90&lt;=Sheet2!$D$2,Sheet2!$B$2,IF(AR90&lt;=Sheet2!$D$3,Sheet2!$B$3,IF(AR90&lt;=Sheet2!$D$4,Sheet2!$B$4,IF(AR90&lt;=Sheet2!$D$5,Sheet2!$B$5,IF(AR90&lt;=Sheet2!$D$6,Sheet2!$B$6,IF(AR90&lt;=Sheet2!$D$7,Sheet2!$B$7,IF(AR90&lt;=Sheet2!$D$8,Sheet2!$B$8,IF(AR90&lt;=Sheet2!$D$9,Sheet2!$B$9,IF(AR90&lt;=Sheet2!$D$10,Sheet2!$B$10,IF(AR90&lt;=Sheet2!$D$11,Sheet2!$B$11,0))))))))))</f>
        <v>FXSQ50A</v>
      </c>
    </row>
    <row r="91" spans="1:54" ht="15" customHeight="1" thickBot="1" x14ac:dyDescent="0.35">
      <c r="A91" t="s">
        <v>109</v>
      </c>
      <c r="B91" s="3">
        <v>86</v>
      </c>
      <c r="C91" s="64" t="s">
        <v>339</v>
      </c>
      <c r="D91" s="27" t="s">
        <v>208</v>
      </c>
      <c r="E91" s="27" t="s">
        <v>270</v>
      </c>
      <c r="F91" s="28" t="s">
        <v>225</v>
      </c>
      <c r="G91" s="29">
        <f>5*3.2</f>
        <v>16</v>
      </c>
      <c r="H91" s="29">
        <f t="shared" si="82"/>
        <v>16</v>
      </c>
      <c r="I91" s="30">
        <v>1</v>
      </c>
      <c r="J91" s="42"/>
      <c r="K91" s="31">
        <f t="shared" si="36"/>
        <v>1</v>
      </c>
      <c r="L91" s="42"/>
      <c r="M91" s="2"/>
      <c r="N91" s="2">
        <f>VLOOKUP(A91,Data!A:B,2,FALSE)</f>
        <v>2</v>
      </c>
      <c r="O91" s="31"/>
      <c r="P91" s="32">
        <v>22</v>
      </c>
      <c r="Q91" s="29" t="s">
        <v>31</v>
      </c>
      <c r="R91" s="33">
        <f>VLOOKUP(A91,Data!A:D,4,FALSE)</f>
        <v>0</v>
      </c>
      <c r="S91" s="2">
        <f>VLOOKUP(A91,Data!A:C,3,FALSE)</f>
        <v>0</v>
      </c>
      <c r="T91" s="2"/>
      <c r="U91" s="2">
        <f t="shared" si="104"/>
        <v>0</v>
      </c>
      <c r="V91" s="29">
        <v>0</v>
      </c>
      <c r="W91" s="91">
        <v>20</v>
      </c>
      <c r="X91" s="62"/>
      <c r="Y91" s="34"/>
      <c r="Z91" s="34">
        <f>0.85*V91</f>
        <v>0</v>
      </c>
      <c r="AA91" s="31">
        <v>25</v>
      </c>
      <c r="AB91" s="92">
        <v>-25</v>
      </c>
      <c r="AC91" s="132"/>
      <c r="AD91" s="93" t="str">
        <f t="shared" si="77"/>
        <v>Negative</v>
      </c>
      <c r="AE91" s="107">
        <f t="shared" si="78"/>
        <v>0.38</v>
      </c>
      <c r="AF91" s="106" t="b">
        <f t="shared" si="79"/>
        <v>1</v>
      </c>
      <c r="AG91" s="32"/>
      <c r="AH91" s="2"/>
      <c r="AI91" s="35"/>
      <c r="AJ91" s="36"/>
      <c r="AK91" s="32">
        <f>VLOOKUP(A91,Data!A:F,6,FALSE)</f>
        <v>10</v>
      </c>
      <c r="AL91" s="35">
        <f t="shared" si="94"/>
        <v>0.16</v>
      </c>
      <c r="AM91" s="36">
        <f t="shared" si="95"/>
        <v>0.16</v>
      </c>
      <c r="AN91" s="37"/>
      <c r="AO91" s="38"/>
      <c r="AP91" s="151">
        <v>1</v>
      </c>
      <c r="AQ91" s="151">
        <f t="shared" si="73"/>
        <v>0</v>
      </c>
      <c r="AR91" s="161">
        <v>1.1000000000000001</v>
      </c>
      <c r="AS91" s="2">
        <f>IF(AR91&lt;=Sheet2!$D$2,Sheet2!$C$2,IF(AR91&lt;=Sheet2!$D$3,Sheet2!$C$3,IF(AR91&lt;=Sheet2!$D$4,Sheet2!$C$4,IF(AR91&lt;=Sheet2!$D$5,Sheet2!$C$5,IF(AR91&lt;=Sheet2!$D$6,Sheet2!$C$6,IF(AR91&lt;=Sheet2!$D$7,Sheet2!$C$7,IF(AR91&lt;=Sheet2!$D$8,Sheet2!$C$8,IF(AR91&lt;=Sheet2!$D$9,Sheet2!$C$9,IF(AR91&lt;=Sheet2!$D$10,Sheet2!$C$10,IF(AR91&lt;=Sheet2!$D$11,Sheet2!$C$11,0))))))))))</f>
        <v>150</v>
      </c>
      <c r="AT91" s="2">
        <f t="shared" si="80"/>
        <v>150</v>
      </c>
      <c r="AU91" s="38"/>
      <c r="AV91" s="38"/>
      <c r="AW91" s="38"/>
      <c r="AX91" s="38"/>
      <c r="AY91" s="38">
        <f t="shared" si="74"/>
        <v>9.375</v>
      </c>
      <c r="AZ91" s="39">
        <f t="shared" si="81"/>
        <v>233.75</v>
      </c>
      <c r="BA91" s="161" t="s">
        <v>377</v>
      </c>
      <c r="BB91" s="31" t="str">
        <f>IF(AR91&lt;=Sheet2!$D$2,Sheet2!$B$2,IF(AR91&lt;=Sheet2!$D$3,Sheet2!$B$3,IF(AR91&lt;=Sheet2!$D$4,Sheet2!$B$4,IF(AR91&lt;=Sheet2!$D$5,Sheet2!$B$5,IF(AR91&lt;=Sheet2!$D$6,Sheet2!$B$6,IF(AR91&lt;=Sheet2!$D$7,Sheet2!$B$7,IF(AR91&lt;=Sheet2!$D$8,Sheet2!$B$8,IF(AR91&lt;=Sheet2!$D$9,Sheet2!$B$9,IF(AR91&lt;=Sheet2!$D$10,Sheet2!$B$10,IF(AR91&lt;=Sheet2!$D$11,Sheet2!$B$11,0))))))))))</f>
        <v>FXSQ20A</v>
      </c>
    </row>
    <row r="92" spans="1:54" ht="13.95" customHeight="1" thickBot="1" x14ac:dyDescent="0.35">
      <c r="A92" t="s">
        <v>121</v>
      </c>
      <c r="B92" s="3">
        <v>87</v>
      </c>
      <c r="C92" s="64" t="s">
        <v>340</v>
      </c>
      <c r="D92" s="13" t="s">
        <v>209</v>
      </c>
      <c r="E92" s="13" t="s">
        <v>121</v>
      </c>
      <c r="F92" s="26" t="s">
        <v>215</v>
      </c>
      <c r="G92" s="14">
        <f>2.8*4+1.8*2</f>
        <v>14.799999999999999</v>
      </c>
      <c r="H92" s="14">
        <f t="shared" si="82"/>
        <v>14.799999999999999</v>
      </c>
      <c r="I92" s="15">
        <v>0</v>
      </c>
      <c r="J92" s="41"/>
      <c r="K92" s="19">
        <f t="shared" si="36"/>
        <v>0</v>
      </c>
      <c r="L92" s="41">
        <v>0</v>
      </c>
      <c r="M92" s="17">
        <v>0</v>
      </c>
      <c r="N92" s="17">
        <f>VLOOKUP(A92,Data!A:B,2,FALSE)</f>
        <v>0</v>
      </c>
      <c r="O92" s="19">
        <f t="shared" ref="O92" si="110">L92</f>
        <v>0</v>
      </c>
      <c r="P92" s="16">
        <v>22</v>
      </c>
      <c r="Q92" s="14" t="s">
        <v>31</v>
      </c>
      <c r="R92" s="12">
        <f>VLOOKUP(A92,Data!A:D,4,FALSE)</f>
        <v>0</v>
      </c>
      <c r="S92" s="17">
        <f>VLOOKUP(A92,Data!A:C,3,FALSE)</f>
        <v>0</v>
      </c>
      <c r="T92" s="17"/>
      <c r="U92" s="17"/>
      <c r="V92" s="29">
        <v>0</v>
      </c>
      <c r="W92" s="91">
        <v>60</v>
      </c>
      <c r="X92" s="62">
        <f>VLOOKUP(A92,Data!A:E,5,FALSE)</f>
        <v>5</v>
      </c>
      <c r="Y92" s="34"/>
      <c r="Z92" s="91">
        <f>X92*G92</f>
        <v>74</v>
      </c>
      <c r="AA92" s="31">
        <v>65</v>
      </c>
      <c r="AB92" s="92">
        <v>-65</v>
      </c>
      <c r="AC92" s="132"/>
      <c r="AD92" s="93" t="str">
        <f t="shared" si="77"/>
        <v>Negative</v>
      </c>
      <c r="AE92" s="107">
        <f t="shared" si="78"/>
        <v>0.41</v>
      </c>
      <c r="AF92" s="106" t="b">
        <f t="shared" si="79"/>
        <v>1</v>
      </c>
      <c r="AG92" s="16"/>
      <c r="AH92" s="17"/>
      <c r="AI92" s="18"/>
      <c r="AJ92" s="20"/>
      <c r="AK92" s="16">
        <f>VLOOKUP(A92,Data!A:F,6,FALSE)</f>
        <v>10</v>
      </c>
      <c r="AL92" s="18">
        <f t="shared" si="94"/>
        <v>0.14799999999999999</v>
      </c>
      <c r="AM92" s="20">
        <f t="shared" si="95"/>
        <v>0.14799999999999999</v>
      </c>
      <c r="AN92" s="21"/>
      <c r="AO92" s="22"/>
      <c r="AP92" s="152">
        <v>1</v>
      </c>
      <c r="AQ92" s="152">
        <f t="shared" si="73"/>
        <v>0</v>
      </c>
      <c r="AR92" s="162">
        <v>6.4</v>
      </c>
      <c r="AS92" s="17">
        <f>IF(AR92&lt;=Sheet2!$D$2,Sheet2!$C$2,IF(AR92&lt;=Sheet2!$D$3,Sheet2!$C$3,IF(AR92&lt;=Sheet2!$D$4,Sheet2!$C$4,IF(AR92&lt;=Sheet2!$D$5,Sheet2!$C$5,IF(AR92&lt;=Sheet2!$D$6,Sheet2!$C$6,IF(AR92&lt;=Sheet2!$D$7,Sheet2!$C$7,IF(AR92&lt;=Sheet2!$D$8,Sheet2!$C$8,IF(AR92&lt;=Sheet2!$D$9,Sheet2!$C$9,IF(AR92&lt;=Sheet2!$D$10,Sheet2!$C$10,IF(AR92&lt;=Sheet2!$D$11,Sheet2!$C$11,0))))))))))</f>
        <v>533</v>
      </c>
      <c r="AT92" s="2">
        <f t="shared" si="80"/>
        <v>533</v>
      </c>
      <c r="AU92" s="22"/>
      <c r="AV92" s="22"/>
      <c r="AW92" s="22"/>
      <c r="AX92" s="22"/>
      <c r="AY92" s="22">
        <f t="shared" si="74"/>
        <v>36.013513513513516</v>
      </c>
      <c r="AZ92" s="39">
        <f t="shared" si="81"/>
        <v>1470.2702702702704</v>
      </c>
      <c r="BA92" s="162" t="s">
        <v>377</v>
      </c>
      <c r="BB92" s="31" t="str">
        <f>IF(AR92&lt;=Sheet2!$D$2,Sheet2!$B$2,IF(AR92&lt;=Sheet2!$D$3,Sheet2!$B$3,IF(AR92&lt;=Sheet2!$D$4,Sheet2!$B$4,IF(AR92&lt;=Sheet2!$D$5,Sheet2!$B$5,IF(AR92&lt;=Sheet2!$D$6,Sheet2!$B$6,IF(AR92&lt;=Sheet2!$D$7,Sheet2!$B$7,IF(AR92&lt;=Sheet2!$D$8,Sheet2!$B$8,IF(AR92&lt;=Sheet2!$D$9,Sheet2!$B$9,IF(AR92&lt;=Sheet2!$D$10,Sheet2!$B$10,IF(AR92&lt;=Sheet2!$D$11,Sheet2!$B$11,0))))))))))</f>
        <v>FXSQ100A</v>
      </c>
    </row>
    <row r="93" spans="1:54" ht="15" thickBot="1" x14ac:dyDescent="0.35">
      <c r="A93" t="s">
        <v>112</v>
      </c>
      <c r="B93" s="3">
        <v>88</v>
      </c>
      <c r="C93" s="64" t="s">
        <v>340</v>
      </c>
      <c r="D93" s="27" t="s">
        <v>210</v>
      </c>
      <c r="E93" s="27" t="s">
        <v>260</v>
      </c>
      <c r="F93" s="28" t="s">
        <v>226</v>
      </c>
      <c r="G93" s="29">
        <f>5.9*5</f>
        <v>29.5</v>
      </c>
      <c r="H93" s="29">
        <f t="shared" si="82"/>
        <v>29.5</v>
      </c>
      <c r="I93" s="30">
        <v>11</v>
      </c>
      <c r="J93" s="42"/>
      <c r="K93" s="31">
        <f t="shared" ref="K93:K115" si="111">I93</f>
        <v>11</v>
      </c>
      <c r="L93" s="42"/>
      <c r="M93" s="2"/>
      <c r="N93" s="2">
        <f>VLOOKUP(A93,Data!A:B,2,FALSE)</f>
        <v>50</v>
      </c>
      <c r="O93" s="31"/>
      <c r="P93" s="32">
        <v>22</v>
      </c>
      <c r="Q93" s="29" t="s">
        <v>31</v>
      </c>
      <c r="R93" s="33">
        <f>VLOOKUP(A93,Data!A:D,4,FALSE)</f>
        <v>3.8</v>
      </c>
      <c r="S93" s="2">
        <f>VLOOKUP(A93,Data!A:C,3,FALSE)</f>
        <v>0.3</v>
      </c>
      <c r="T93" s="2"/>
      <c r="U93" s="2">
        <f t="shared" si="104"/>
        <v>50.65</v>
      </c>
      <c r="V93" s="29">
        <v>55</v>
      </c>
      <c r="W93" s="91">
        <v>-40</v>
      </c>
      <c r="X93" s="62"/>
      <c r="Y93" s="34"/>
      <c r="Z93" s="34"/>
      <c r="AA93" s="31"/>
      <c r="AB93" s="92">
        <v>0</v>
      </c>
      <c r="AC93" s="132"/>
      <c r="AD93" s="93" t="str">
        <f t="shared" si="77"/>
        <v>Positive</v>
      </c>
      <c r="AE93" s="107">
        <f t="shared" si="78"/>
        <v>0.61</v>
      </c>
      <c r="AF93" s="106" t="b">
        <f t="shared" si="79"/>
        <v>1</v>
      </c>
      <c r="AG93" s="32"/>
      <c r="AH93" s="2"/>
      <c r="AI93" s="35"/>
      <c r="AJ93" s="36"/>
      <c r="AK93" s="32">
        <f>VLOOKUP(A93,Data!A:F,6,FALSE)</f>
        <v>10</v>
      </c>
      <c r="AL93" s="35">
        <f t="shared" si="94"/>
        <v>0.29499999999999998</v>
      </c>
      <c r="AM93" s="36">
        <f t="shared" ref="AM93:AM115" si="112">AL93</f>
        <v>0.29499999999999998</v>
      </c>
      <c r="AN93" s="37"/>
      <c r="AO93" s="38"/>
      <c r="AP93" s="151">
        <v>1</v>
      </c>
      <c r="AQ93" s="151">
        <f t="shared" si="73"/>
        <v>0</v>
      </c>
      <c r="AR93" s="161">
        <v>4.5999999999999996</v>
      </c>
      <c r="AS93" s="2">
        <f>IF(AR93&lt;=Sheet2!$D$2,Sheet2!$C$2,IF(AR93&lt;=Sheet2!$D$3,Sheet2!$C$3,IF(AR93&lt;=Sheet2!$D$4,Sheet2!$C$4,IF(AR93&lt;=Sheet2!$D$5,Sheet2!$C$5,IF(AR93&lt;=Sheet2!$D$6,Sheet2!$C$6,IF(AR93&lt;=Sheet2!$D$7,Sheet2!$C$7,IF(AR93&lt;=Sheet2!$D$8,Sheet2!$C$8,IF(AR93&lt;=Sheet2!$D$9,Sheet2!$C$9,IF(AR93&lt;=Sheet2!$D$10,Sheet2!$C$10,IF(AR93&lt;=Sheet2!$D$11,Sheet2!$C$11,0))))))))))</f>
        <v>350</v>
      </c>
      <c r="AT93" s="2">
        <f t="shared" si="80"/>
        <v>295</v>
      </c>
      <c r="AU93" s="38"/>
      <c r="AV93" s="38"/>
      <c r="AW93" s="38"/>
      <c r="AX93" s="38"/>
      <c r="AY93" s="38">
        <f t="shared" si="74"/>
        <v>11.864406779661017</v>
      </c>
      <c r="AZ93" s="39">
        <f t="shared" si="81"/>
        <v>530.16949152542372</v>
      </c>
      <c r="BA93" s="161" t="s">
        <v>377</v>
      </c>
      <c r="BB93" s="31" t="str">
        <f>IF(AR93&lt;=Sheet2!$D$2,Sheet2!$B$2,IF(AR93&lt;=Sheet2!$D$3,Sheet2!$B$3,IF(AR93&lt;=Sheet2!$D$4,Sheet2!$B$4,IF(AR93&lt;=Sheet2!$D$5,Sheet2!$B$5,IF(AR93&lt;=Sheet2!$D$6,Sheet2!$B$6,IF(AR93&lt;=Sheet2!$D$7,Sheet2!$B$7,IF(AR93&lt;=Sheet2!$D$8,Sheet2!$B$8,IF(AR93&lt;=Sheet2!$D$9,Sheet2!$B$9,IF(AR93&lt;=Sheet2!$D$10,Sheet2!$B$10,IF(AR93&lt;=Sheet2!$D$11,Sheet2!$B$11,0))))))))))</f>
        <v>FXSQ63A</v>
      </c>
    </row>
    <row r="94" spans="1:54" ht="13.95" customHeight="1" thickBot="1" x14ac:dyDescent="0.35">
      <c r="A94" t="s">
        <v>109</v>
      </c>
      <c r="B94" s="3">
        <v>89</v>
      </c>
      <c r="C94" s="64" t="s">
        <v>340</v>
      </c>
      <c r="D94" s="13" t="s">
        <v>211</v>
      </c>
      <c r="E94" s="13" t="s">
        <v>109</v>
      </c>
      <c r="F94" s="26" t="s">
        <v>227</v>
      </c>
      <c r="G94" s="14">
        <f>2.5*3.2</f>
        <v>8</v>
      </c>
      <c r="H94" s="14">
        <f t="shared" si="82"/>
        <v>8</v>
      </c>
      <c r="I94" s="15">
        <v>0</v>
      </c>
      <c r="J94" s="41"/>
      <c r="K94" s="19">
        <f t="shared" si="111"/>
        <v>0</v>
      </c>
      <c r="L94" s="41">
        <v>0</v>
      </c>
      <c r="M94" s="17">
        <v>0</v>
      </c>
      <c r="N94" s="17">
        <f>VLOOKUP(A94,Data!A:B,2,FALSE)</f>
        <v>2</v>
      </c>
      <c r="O94" s="19">
        <f t="shared" ref="O94" si="113">L94</f>
        <v>0</v>
      </c>
      <c r="P94" s="16">
        <v>22</v>
      </c>
      <c r="Q94" s="14" t="s">
        <v>31</v>
      </c>
      <c r="R94" s="12">
        <f>VLOOKUP(A94,Data!A:D,4,FALSE)</f>
        <v>0</v>
      </c>
      <c r="S94" s="17">
        <f>VLOOKUP(A94,Data!A:C,3,FALSE)</f>
        <v>0</v>
      </c>
      <c r="T94" s="17"/>
      <c r="U94" s="2">
        <f t="shared" ref="U94" si="114">R94*I94+S94*G94</f>
        <v>0</v>
      </c>
      <c r="V94" s="29">
        <v>0</v>
      </c>
      <c r="W94" s="91">
        <v>20</v>
      </c>
      <c r="X94" s="62"/>
      <c r="Y94" s="34"/>
      <c r="Z94" s="34">
        <f t="shared" ref="Z94" si="115">0.85*V94</f>
        <v>0</v>
      </c>
      <c r="AA94" s="31">
        <v>25</v>
      </c>
      <c r="AB94" s="92">
        <v>-25</v>
      </c>
      <c r="AC94" s="132"/>
      <c r="AD94" s="93" t="str">
        <f t="shared" si="77"/>
        <v>Negative</v>
      </c>
      <c r="AE94" s="107">
        <f t="shared" si="78"/>
        <v>0.75</v>
      </c>
      <c r="AF94" s="106" t="b">
        <f t="shared" si="79"/>
        <v>1</v>
      </c>
      <c r="AG94" s="16"/>
      <c r="AH94" s="17"/>
      <c r="AI94" s="18"/>
      <c r="AJ94" s="20"/>
      <c r="AK94" s="16">
        <f>VLOOKUP(A94,Data!A:F,6,FALSE)</f>
        <v>10</v>
      </c>
      <c r="AL94" s="18">
        <f t="shared" si="94"/>
        <v>0.08</v>
      </c>
      <c r="AM94" s="20">
        <f t="shared" ref="AM94" si="116">AL94</f>
        <v>0.08</v>
      </c>
      <c r="AN94" s="21"/>
      <c r="AO94" s="22"/>
      <c r="AP94" s="152">
        <v>1</v>
      </c>
      <c r="AQ94" s="152">
        <f t="shared" si="73"/>
        <v>0</v>
      </c>
      <c r="AR94" s="162">
        <v>1.9</v>
      </c>
      <c r="AS94" s="17">
        <f>IF(AR94&lt;=Sheet2!$D$2,Sheet2!$C$2,IF(AR94&lt;=Sheet2!$D$3,Sheet2!$C$3,IF(AR94&lt;=Sheet2!$D$4,Sheet2!$C$4,IF(AR94&lt;=Sheet2!$D$5,Sheet2!$C$5,IF(AR94&lt;=Sheet2!$D$6,Sheet2!$C$6,IF(AR94&lt;=Sheet2!$D$7,Sheet2!$C$7,IF(AR94&lt;=Sheet2!$D$8,Sheet2!$C$8,IF(AR94&lt;=Sheet2!$D$9,Sheet2!$C$9,IF(AR94&lt;=Sheet2!$D$10,Sheet2!$C$10,IF(AR94&lt;=Sheet2!$D$11,Sheet2!$C$11,0))))))))))</f>
        <v>158</v>
      </c>
      <c r="AT94" s="2">
        <f t="shared" si="80"/>
        <v>158</v>
      </c>
      <c r="AU94" s="22"/>
      <c r="AV94" s="22"/>
      <c r="AW94" s="22"/>
      <c r="AX94" s="22"/>
      <c r="AY94" s="22">
        <f t="shared" si="74"/>
        <v>19.75</v>
      </c>
      <c r="AZ94" s="39">
        <f t="shared" si="81"/>
        <v>807.5</v>
      </c>
      <c r="BA94" s="162" t="s">
        <v>377</v>
      </c>
      <c r="BB94" s="31" t="str">
        <f>IF(AR94&lt;=Sheet2!$D$2,Sheet2!$B$2,IF(AR94&lt;=Sheet2!$D$3,Sheet2!$B$3,IF(AR94&lt;=Sheet2!$D$4,Sheet2!$B$4,IF(AR94&lt;=Sheet2!$D$5,Sheet2!$B$5,IF(AR94&lt;=Sheet2!$D$6,Sheet2!$B$6,IF(AR94&lt;=Sheet2!$D$7,Sheet2!$B$7,IF(AR94&lt;=Sheet2!$D$8,Sheet2!$B$8,IF(AR94&lt;=Sheet2!$D$9,Sheet2!$B$9,IF(AR94&lt;=Sheet2!$D$10,Sheet2!$B$10,IF(AR94&lt;=Sheet2!$D$11,Sheet2!$B$11,0))))))))))</f>
        <v>FXSQ32A</v>
      </c>
    </row>
    <row r="95" spans="1:54" ht="15" thickBot="1" x14ac:dyDescent="0.35">
      <c r="A95" t="s">
        <v>286</v>
      </c>
      <c r="B95" s="3">
        <v>90</v>
      </c>
      <c r="C95" s="64" t="s">
        <v>340</v>
      </c>
      <c r="D95" s="27" t="s">
        <v>212</v>
      </c>
      <c r="E95" s="27" t="s">
        <v>271</v>
      </c>
      <c r="F95" s="28" t="s">
        <v>228</v>
      </c>
      <c r="G95" s="29">
        <f>5*6.8</f>
        <v>34</v>
      </c>
      <c r="H95" s="29">
        <f t="shared" si="82"/>
        <v>34</v>
      </c>
      <c r="I95" s="30">
        <v>4</v>
      </c>
      <c r="J95" s="42"/>
      <c r="K95" s="31">
        <f t="shared" si="111"/>
        <v>4</v>
      </c>
      <c r="L95" s="42"/>
      <c r="M95" s="2"/>
      <c r="N95" s="2">
        <f>VLOOKUP(A95,Data!A:B,2,FALSE)</f>
        <v>0</v>
      </c>
      <c r="O95" s="31"/>
      <c r="P95" s="32">
        <v>22</v>
      </c>
      <c r="Q95" s="29" t="s">
        <v>31</v>
      </c>
      <c r="R95" s="33">
        <f>VLOOKUP(A95,Data!A:D,4,FALSE)</f>
        <v>0</v>
      </c>
      <c r="S95" s="2">
        <f>VLOOKUP(A95,Data!A:C,3,FALSE)</f>
        <v>0</v>
      </c>
      <c r="T95" s="2"/>
      <c r="U95" s="17">
        <f>Z95*0.85</f>
        <v>106.25</v>
      </c>
      <c r="V95" s="29"/>
      <c r="W95" s="91">
        <v>110</v>
      </c>
      <c r="X95" s="62">
        <v>25</v>
      </c>
      <c r="Y95" s="34">
        <v>5</v>
      </c>
      <c r="Z95" s="34">
        <f>Y95*X95</f>
        <v>125</v>
      </c>
      <c r="AA95" s="31">
        <f t="shared" si="76"/>
        <v>125</v>
      </c>
      <c r="AB95" s="92">
        <f>(CEILING(AA95,1))*-1</f>
        <v>-125</v>
      </c>
      <c r="AC95" s="132"/>
      <c r="AD95" s="93" t="str">
        <f t="shared" si="77"/>
        <v>Negative</v>
      </c>
      <c r="AE95" s="107">
        <f t="shared" si="78"/>
        <v>0.53</v>
      </c>
      <c r="AF95" s="106" t="b">
        <f t="shared" si="79"/>
        <v>1</v>
      </c>
      <c r="AG95" s="32"/>
      <c r="AH95" s="2"/>
      <c r="AI95" s="35"/>
      <c r="AJ95" s="36"/>
      <c r="AK95" s="32">
        <f>VLOOKUP(A95,Data!A:F,6,FALSE)</f>
        <v>10</v>
      </c>
      <c r="AL95" s="35">
        <f t="shared" si="94"/>
        <v>0.34</v>
      </c>
      <c r="AM95" s="36">
        <f t="shared" ref="AM95" si="117">AL95</f>
        <v>0.34</v>
      </c>
      <c r="AN95" s="37"/>
      <c r="AO95" s="38"/>
      <c r="AP95" s="151">
        <v>1</v>
      </c>
      <c r="AQ95" s="151">
        <f t="shared" si="73"/>
        <v>0</v>
      </c>
      <c r="AR95" s="161">
        <v>3.9</v>
      </c>
      <c r="AS95" s="2">
        <f>IF(AR95&lt;=Sheet2!$D$2,Sheet2!$C$2,IF(AR95&lt;=Sheet2!$D$3,Sheet2!$C$3,IF(AR95&lt;=Sheet2!$D$4,Sheet2!$C$4,IF(AR95&lt;=Sheet2!$D$5,Sheet2!$C$5,IF(AR95&lt;=Sheet2!$D$6,Sheet2!$C$6,IF(AR95&lt;=Sheet2!$D$7,Sheet2!$C$7,IF(AR95&lt;=Sheet2!$D$8,Sheet2!$C$8,IF(AR95&lt;=Sheet2!$D$9,Sheet2!$C$9,IF(AR95&lt;=Sheet2!$D$10,Sheet2!$C$10,IF(AR95&lt;=Sheet2!$D$11,Sheet2!$C$11,0))))))))))</f>
        <v>350</v>
      </c>
      <c r="AT95" s="2">
        <f t="shared" si="80"/>
        <v>350</v>
      </c>
      <c r="AU95" s="38"/>
      <c r="AV95" s="38"/>
      <c r="AW95" s="38"/>
      <c r="AX95" s="38"/>
      <c r="AY95" s="38">
        <f t="shared" si="74"/>
        <v>10.294117647058824</v>
      </c>
      <c r="AZ95" s="39">
        <f t="shared" si="81"/>
        <v>390</v>
      </c>
      <c r="BA95" s="161" t="s">
        <v>377</v>
      </c>
      <c r="BB95" s="31" t="str">
        <f>IF(AR95&lt;=Sheet2!$D$2,Sheet2!$B$2,IF(AR95&lt;=Sheet2!$D$3,Sheet2!$B$3,IF(AR95&lt;=Sheet2!$D$4,Sheet2!$B$4,IF(AR95&lt;=Sheet2!$D$5,Sheet2!$B$5,IF(AR95&lt;=Sheet2!$D$6,Sheet2!$B$6,IF(AR95&lt;=Sheet2!$D$7,Sheet2!$B$7,IF(AR95&lt;=Sheet2!$D$8,Sheet2!$B$8,IF(AR95&lt;=Sheet2!$D$9,Sheet2!$B$9,IF(AR95&lt;=Sheet2!$D$10,Sheet2!$B$10,IF(AR95&lt;=Sheet2!$D$11,Sheet2!$B$11,0))))))))))</f>
        <v>FXSQ63A</v>
      </c>
    </row>
    <row r="96" spans="1:54" ht="13.95" customHeight="1" thickBot="1" x14ac:dyDescent="0.35">
      <c r="A96" t="s">
        <v>9</v>
      </c>
      <c r="B96" s="3">
        <v>91</v>
      </c>
      <c r="C96" s="64" t="s">
        <v>340</v>
      </c>
      <c r="D96" s="13" t="s">
        <v>213</v>
      </c>
      <c r="E96" s="13" t="s">
        <v>283</v>
      </c>
      <c r="F96" s="26" t="s">
        <v>229</v>
      </c>
      <c r="G96" s="14">
        <f>3.1*5</f>
        <v>15.5</v>
      </c>
      <c r="H96" s="14">
        <f t="shared" si="82"/>
        <v>15.5</v>
      </c>
      <c r="I96" s="15">
        <v>3</v>
      </c>
      <c r="J96" s="41"/>
      <c r="K96" s="19">
        <f t="shared" si="111"/>
        <v>3</v>
      </c>
      <c r="L96" s="41">
        <v>0</v>
      </c>
      <c r="M96" s="17">
        <v>0</v>
      </c>
      <c r="N96" s="17">
        <f>VLOOKUP(A96,Data!A:B,2,FALSE)</f>
        <v>5</v>
      </c>
      <c r="O96" s="19">
        <f t="shared" ref="O96" si="118">L96</f>
        <v>0</v>
      </c>
      <c r="P96" s="16">
        <v>22</v>
      </c>
      <c r="Q96" s="14" t="s">
        <v>31</v>
      </c>
      <c r="R96" s="12">
        <f>VLOOKUP(A96,Data!A:D,4,FALSE)</f>
        <v>2.5</v>
      </c>
      <c r="S96" s="17">
        <f>VLOOKUP(A96,Data!A:C,3,FALSE)</f>
        <v>0.3</v>
      </c>
      <c r="T96" s="17"/>
      <c r="U96" s="17">
        <f t="shared" si="104"/>
        <v>12.149999999999999</v>
      </c>
      <c r="V96" s="29">
        <v>20</v>
      </c>
      <c r="W96" s="91">
        <v>-10</v>
      </c>
      <c r="X96" s="62"/>
      <c r="Y96" s="34"/>
      <c r="Z96" s="34">
        <f t="shared" ref="Z96:Z113" si="119">0.85*V96</f>
        <v>17</v>
      </c>
      <c r="AA96" s="31">
        <v>0</v>
      </c>
      <c r="AB96" s="92">
        <v>0</v>
      </c>
      <c r="AC96" s="132"/>
      <c r="AD96" s="93" t="str">
        <f t="shared" si="77"/>
        <v>Positive</v>
      </c>
      <c r="AE96" s="107">
        <f t="shared" si="78"/>
        <v>0.77</v>
      </c>
      <c r="AF96" s="106" t="b">
        <f t="shared" si="79"/>
        <v>1</v>
      </c>
      <c r="AG96" s="16"/>
      <c r="AH96" s="17"/>
      <c r="AI96" s="18"/>
      <c r="AJ96" s="20"/>
      <c r="AK96" s="16">
        <f>VLOOKUP(A96,Data!A:F,6,FALSE)</f>
        <v>10</v>
      </c>
      <c r="AL96" s="18">
        <f t="shared" si="94"/>
        <v>0.155</v>
      </c>
      <c r="AM96" s="20">
        <f t="shared" si="112"/>
        <v>0.155</v>
      </c>
      <c r="AN96" s="21"/>
      <c r="AO96" s="22"/>
      <c r="AP96" s="152">
        <v>1</v>
      </c>
      <c r="AQ96" s="152">
        <f t="shared" si="73"/>
        <v>0</v>
      </c>
      <c r="AR96" s="162">
        <v>2.8</v>
      </c>
      <c r="AS96" s="17">
        <f>IF(AR96&lt;=Sheet2!$D$2,Sheet2!$C$2,IF(AR96&lt;=Sheet2!$D$3,Sheet2!$C$3,IF(AR96&lt;=Sheet2!$D$4,Sheet2!$C$4,IF(AR96&lt;=Sheet2!$D$5,Sheet2!$C$5,IF(AR96&lt;=Sheet2!$D$6,Sheet2!$C$6,IF(AR96&lt;=Sheet2!$D$7,Sheet2!$C$7,IF(AR96&lt;=Sheet2!$D$8,Sheet2!$C$8,IF(AR96&lt;=Sheet2!$D$9,Sheet2!$C$9,IF(AR96&lt;=Sheet2!$D$10,Sheet2!$C$10,IF(AR96&lt;=Sheet2!$D$11,Sheet2!$C$11,0))))))))))</f>
        <v>250</v>
      </c>
      <c r="AT96" s="2">
        <f t="shared" si="80"/>
        <v>230</v>
      </c>
      <c r="AU96" s="22"/>
      <c r="AV96" s="22"/>
      <c r="AW96" s="22"/>
      <c r="AX96" s="22"/>
      <c r="AY96" s="22">
        <f t="shared" si="74"/>
        <v>16.129032258064516</v>
      </c>
      <c r="AZ96" s="39">
        <f t="shared" si="81"/>
        <v>614.19354838709671</v>
      </c>
      <c r="BA96" s="162" t="s">
        <v>377</v>
      </c>
      <c r="BB96" s="31" t="str">
        <f>IF(AR96&lt;=Sheet2!$D$2,Sheet2!$B$2,IF(AR96&lt;=Sheet2!$D$3,Sheet2!$B$3,IF(AR96&lt;=Sheet2!$D$4,Sheet2!$B$4,IF(AR96&lt;=Sheet2!$D$5,Sheet2!$B$5,IF(AR96&lt;=Sheet2!$D$6,Sheet2!$B$6,IF(AR96&lt;=Sheet2!$D$7,Sheet2!$B$7,IF(AR96&lt;=Sheet2!$D$8,Sheet2!$B$8,IF(AR96&lt;=Sheet2!$D$9,Sheet2!$B$9,IF(AR96&lt;=Sheet2!$D$10,Sheet2!$B$10,IF(AR96&lt;=Sheet2!$D$11,Sheet2!$B$11,0))))))))))</f>
        <v>FXSQ40A</v>
      </c>
    </row>
    <row r="97" spans="1:54" ht="15" thickBot="1" x14ac:dyDescent="0.35">
      <c r="A97" t="s">
        <v>285</v>
      </c>
      <c r="B97" s="3">
        <v>92</v>
      </c>
      <c r="C97" s="64" t="s">
        <v>340</v>
      </c>
      <c r="D97" s="27" t="s">
        <v>214</v>
      </c>
      <c r="E97" s="27" t="s">
        <v>272</v>
      </c>
      <c r="F97" s="28" t="s">
        <v>230</v>
      </c>
      <c r="G97" s="29">
        <f>5*8.1</f>
        <v>40.5</v>
      </c>
      <c r="H97" s="29">
        <f t="shared" si="82"/>
        <v>40.5</v>
      </c>
      <c r="I97" s="30">
        <v>3</v>
      </c>
      <c r="J97" s="42"/>
      <c r="K97" s="31">
        <f t="shared" si="111"/>
        <v>3</v>
      </c>
      <c r="L97" s="42"/>
      <c r="M97" s="2"/>
      <c r="N97" s="2">
        <f>VLOOKUP(A97,Data!A:B,2,FALSE)</f>
        <v>10</v>
      </c>
      <c r="O97" s="31"/>
      <c r="P97" s="32">
        <v>22</v>
      </c>
      <c r="Q97" s="29" t="s">
        <v>31</v>
      </c>
      <c r="R97" s="33">
        <f>VLOOKUP(A97,Data!A:D,4,FALSE)</f>
        <v>2.5</v>
      </c>
      <c r="S97" s="2">
        <f>VLOOKUP(A97,Data!A:C,3,FALSE)</f>
        <v>0.3</v>
      </c>
      <c r="T97" s="2"/>
      <c r="U97" s="2">
        <f t="shared" si="104"/>
        <v>19.649999999999999</v>
      </c>
      <c r="V97" s="29">
        <v>25</v>
      </c>
      <c r="W97" s="91">
        <v>-10</v>
      </c>
      <c r="X97" s="62"/>
      <c r="Y97" s="34"/>
      <c r="Z97" s="34">
        <f t="shared" si="119"/>
        <v>21.25</v>
      </c>
      <c r="AA97" s="31">
        <v>0</v>
      </c>
      <c r="AB97" s="92">
        <v>0</v>
      </c>
      <c r="AC97" s="132"/>
      <c r="AD97" s="93" t="str">
        <f t="shared" si="77"/>
        <v>Positive</v>
      </c>
      <c r="AE97" s="107">
        <f t="shared" si="78"/>
        <v>0.44</v>
      </c>
      <c r="AF97" s="106" t="b">
        <f t="shared" si="79"/>
        <v>1</v>
      </c>
      <c r="AG97" s="32"/>
      <c r="AH97" s="2"/>
      <c r="AI97" s="35"/>
      <c r="AJ97" s="36"/>
      <c r="AK97" s="32">
        <f>VLOOKUP(A97,Data!A:F,6,FALSE)</f>
        <v>10</v>
      </c>
      <c r="AL97" s="35">
        <f t="shared" si="94"/>
        <v>0.40500000000000003</v>
      </c>
      <c r="AM97" s="36">
        <f t="shared" si="112"/>
        <v>0.40500000000000003</v>
      </c>
      <c r="AN97" s="37"/>
      <c r="AO97" s="38"/>
      <c r="AP97" s="151">
        <v>1</v>
      </c>
      <c r="AQ97" s="151">
        <f t="shared" si="73"/>
        <v>0</v>
      </c>
      <c r="AR97" s="161">
        <v>5.2</v>
      </c>
      <c r="AS97" s="2">
        <f>IF(AR97&lt;=Sheet2!$D$2,Sheet2!$C$2,IF(AR97&lt;=Sheet2!$D$3,Sheet2!$C$3,IF(AR97&lt;=Sheet2!$D$4,Sheet2!$C$4,IF(AR97&lt;=Sheet2!$D$5,Sheet2!$C$5,IF(AR97&lt;=Sheet2!$D$6,Sheet2!$C$6,IF(AR97&lt;=Sheet2!$D$7,Sheet2!$C$7,IF(AR97&lt;=Sheet2!$D$8,Sheet2!$C$8,IF(AR97&lt;=Sheet2!$D$9,Sheet2!$C$9,IF(AR97&lt;=Sheet2!$D$10,Sheet2!$C$10,IF(AR97&lt;=Sheet2!$D$11,Sheet2!$C$11,0))))))))))</f>
        <v>383</v>
      </c>
      <c r="AT97" s="2">
        <f t="shared" si="80"/>
        <v>358</v>
      </c>
      <c r="AU97" s="38"/>
      <c r="AV97" s="38"/>
      <c r="AW97" s="38"/>
      <c r="AX97" s="38"/>
      <c r="AY97" s="38">
        <f t="shared" si="74"/>
        <v>9.4567901234567895</v>
      </c>
      <c r="AZ97" s="39">
        <f t="shared" si="81"/>
        <v>436.54320987654319</v>
      </c>
      <c r="BA97" s="161" t="s">
        <v>377</v>
      </c>
      <c r="BB97" s="31" t="str">
        <f>IF(AR97&lt;=Sheet2!$D$2,Sheet2!$B$2,IF(AR97&lt;=Sheet2!$D$3,Sheet2!$B$3,IF(AR97&lt;=Sheet2!$D$4,Sheet2!$B$4,IF(AR97&lt;=Sheet2!$D$5,Sheet2!$B$5,IF(AR97&lt;=Sheet2!$D$6,Sheet2!$B$6,IF(AR97&lt;=Sheet2!$D$7,Sheet2!$B$7,IF(AR97&lt;=Sheet2!$D$8,Sheet2!$B$8,IF(AR97&lt;=Sheet2!$D$9,Sheet2!$B$9,IF(AR97&lt;=Sheet2!$D$10,Sheet2!$B$10,IF(AR97&lt;=Sheet2!$D$11,Sheet2!$B$11,0))))))))))</f>
        <v>FXSQ80A</v>
      </c>
    </row>
    <row r="98" spans="1:54" ht="13.95" customHeight="1" thickBot="1" x14ac:dyDescent="0.35">
      <c r="A98" t="s">
        <v>9</v>
      </c>
      <c r="B98" s="3">
        <v>93</v>
      </c>
      <c r="C98" s="64" t="s">
        <v>339</v>
      </c>
      <c r="D98" s="13" t="s">
        <v>242</v>
      </c>
      <c r="E98" s="13" t="s">
        <v>273</v>
      </c>
      <c r="F98" s="26" t="s">
        <v>231</v>
      </c>
      <c r="G98" s="14">
        <v>20</v>
      </c>
      <c r="H98" s="14">
        <f t="shared" si="82"/>
        <v>20</v>
      </c>
      <c r="I98" s="15">
        <v>3</v>
      </c>
      <c r="J98" s="41"/>
      <c r="K98" s="19">
        <f t="shared" si="111"/>
        <v>3</v>
      </c>
      <c r="L98" s="41">
        <v>0</v>
      </c>
      <c r="M98" s="17">
        <v>0</v>
      </c>
      <c r="N98" s="17">
        <f>VLOOKUP(A98,Data!A:B,2,FALSE)</f>
        <v>5</v>
      </c>
      <c r="O98" s="19">
        <f t="shared" ref="O98" si="120">L98</f>
        <v>0</v>
      </c>
      <c r="P98" s="16">
        <v>22</v>
      </c>
      <c r="Q98" s="14" t="s">
        <v>31</v>
      </c>
      <c r="R98" s="12">
        <f>VLOOKUP(A98,Data!A:D,4,FALSE)</f>
        <v>2.5</v>
      </c>
      <c r="S98" s="17">
        <f>VLOOKUP(A98,Data!A:C,3,FALSE)</f>
        <v>0.3</v>
      </c>
      <c r="T98" s="17"/>
      <c r="U98" s="17">
        <f t="shared" si="104"/>
        <v>13.5</v>
      </c>
      <c r="V98" s="29">
        <f t="shared" si="98"/>
        <v>15</v>
      </c>
      <c r="W98" s="91">
        <v>-10</v>
      </c>
      <c r="X98" s="62"/>
      <c r="Y98" s="34"/>
      <c r="Z98" s="34">
        <f t="shared" si="119"/>
        <v>12.75</v>
      </c>
      <c r="AA98" s="31">
        <v>0</v>
      </c>
      <c r="AB98" s="92">
        <v>0</v>
      </c>
      <c r="AC98" s="132"/>
      <c r="AD98" s="93" t="str">
        <f t="shared" si="77"/>
        <v>Positive</v>
      </c>
      <c r="AE98" s="107">
        <f t="shared" si="78"/>
        <v>0.3</v>
      </c>
      <c r="AF98" s="106" t="b">
        <f t="shared" si="79"/>
        <v>1</v>
      </c>
      <c r="AG98" s="16"/>
      <c r="AH98" s="17"/>
      <c r="AI98" s="18"/>
      <c r="AJ98" s="20"/>
      <c r="AK98" s="16">
        <f>VLOOKUP(A98,Data!A:F,6,FALSE)</f>
        <v>10</v>
      </c>
      <c r="AL98" s="18">
        <f t="shared" si="94"/>
        <v>0.2</v>
      </c>
      <c r="AM98" s="20">
        <f t="shared" si="112"/>
        <v>0.2</v>
      </c>
      <c r="AN98" s="21"/>
      <c r="AO98" s="22"/>
      <c r="AP98" s="152">
        <v>1</v>
      </c>
      <c r="AQ98" s="152">
        <f t="shared" si="73"/>
        <v>0</v>
      </c>
      <c r="AR98" s="162">
        <v>3.1</v>
      </c>
      <c r="AS98" s="17">
        <f>IF(AR98&lt;=Sheet2!$D$2,Sheet2!$C$2,IF(AR98&lt;=Sheet2!$D$3,Sheet2!$C$3,IF(AR98&lt;=Sheet2!$D$4,Sheet2!$C$4,IF(AR98&lt;=Sheet2!$D$5,Sheet2!$C$5,IF(AR98&lt;=Sheet2!$D$6,Sheet2!$C$6,IF(AR98&lt;=Sheet2!$D$7,Sheet2!$C$7,IF(AR98&lt;=Sheet2!$D$8,Sheet2!$C$8,IF(AR98&lt;=Sheet2!$D$9,Sheet2!$C$9,IF(AR98&lt;=Sheet2!$D$10,Sheet2!$C$10,IF(AR98&lt;=Sheet2!$D$11,Sheet2!$C$11,0))))))))))</f>
        <v>253</v>
      </c>
      <c r="AT98" s="2">
        <f t="shared" si="80"/>
        <v>238</v>
      </c>
      <c r="AU98" s="22"/>
      <c r="AV98" s="22"/>
      <c r="AW98" s="22"/>
      <c r="AX98" s="22"/>
      <c r="AY98" s="22">
        <f t="shared" si="74"/>
        <v>12.65</v>
      </c>
      <c r="AZ98" s="39">
        <f t="shared" si="81"/>
        <v>527</v>
      </c>
      <c r="BA98" s="162" t="s">
        <v>377</v>
      </c>
      <c r="BB98" s="31" t="str">
        <f>IF(AR98&lt;=Sheet2!$D$2,Sheet2!$B$2,IF(AR98&lt;=Sheet2!$D$3,Sheet2!$B$3,IF(AR98&lt;=Sheet2!$D$4,Sheet2!$B$4,IF(AR98&lt;=Sheet2!$D$5,Sheet2!$B$5,IF(AR98&lt;=Sheet2!$D$6,Sheet2!$B$6,IF(AR98&lt;=Sheet2!$D$7,Sheet2!$B$7,IF(AR98&lt;=Sheet2!$D$8,Sheet2!$B$8,IF(AR98&lt;=Sheet2!$D$9,Sheet2!$B$9,IF(AR98&lt;=Sheet2!$D$10,Sheet2!$B$10,IF(AR98&lt;=Sheet2!$D$11,Sheet2!$B$11,0))))))))))</f>
        <v>FXSQ50A</v>
      </c>
    </row>
    <row r="99" spans="1:54" ht="15" thickBot="1" x14ac:dyDescent="0.35">
      <c r="A99" t="s">
        <v>9</v>
      </c>
      <c r="B99" s="3">
        <v>94</v>
      </c>
      <c r="C99" s="64" t="s">
        <v>339</v>
      </c>
      <c r="D99" s="27" t="s">
        <v>243</v>
      </c>
      <c r="E99" s="27" t="s">
        <v>274</v>
      </c>
      <c r="F99" s="28" t="s">
        <v>232</v>
      </c>
      <c r="G99" s="29">
        <v>20</v>
      </c>
      <c r="H99" s="29">
        <f t="shared" si="82"/>
        <v>20</v>
      </c>
      <c r="I99" s="30">
        <v>3</v>
      </c>
      <c r="J99" s="42"/>
      <c r="K99" s="31">
        <f t="shared" si="111"/>
        <v>3</v>
      </c>
      <c r="L99" s="42"/>
      <c r="M99" s="2"/>
      <c r="N99" s="2">
        <f>VLOOKUP(A99,Data!A:B,2,FALSE)</f>
        <v>5</v>
      </c>
      <c r="O99" s="31"/>
      <c r="P99" s="32">
        <v>22</v>
      </c>
      <c r="Q99" s="29" t="s">
        <v>31</v>
      </c>
      <c r="R99" s="33">
        <f>VLOOKUP(A99,Data!A:D,4,FALSE)</f>
        <v>2.5</v>
      </c>
      <c r="S99" s="2">
        <f>VLOOKUP(A99,Data!A:C,3,FALSE)</f>
        <v>0.3</v>
      </c>
      <c r="T99" s="2"/>
      <c r="U99" s="2">
        <f t="shared" si="104"/>
        <v>13.5</v>
      </c>
      <c r="V99" s="29">
        <f t="shared" si="98"/>
        <v>15</v>
      </c>
      <c r="W99" s="91">
        <v>-10</v>
      </c>
      <c r="X99" s="62"/>
      <c r="Y99" s="34"/>
      <c r="Z99" s="34">
        <f t="shared" si="119"/>
        <v>12.75</v>
      </c>
      <c r="AA99" s="31">
        <v>0</v>
      </c>
      <c r="AB99" s="92">
        <v>0</v>
      </c>
      <c r="AC99" s="132"/>
      <c r="AD99" s="93" t="str">
        <f t="shared" si="77"/>
        <v>Positive</v>
      </c>
      <c r="AE99" s="107">
        <f t="shared" si="78"/>
        <v>0.3</v>
      </c>
      <c r="AF99" s="106" t="b">
        <f t="shared" si="79"/>
        <v>1</v>
      </c>
      <c r="AG99" s="32"/>
      <c r="AH99" s="2"/>
      <c r="AI99" s="35"/>
      <c r="AJ99" s="36"/>
      <c r="AK99" s="32">
        <f>VLOOKUP(A99,Data!A:F,6,FALSE)</f>
        <v>10</v>
      </c>
      <c r="AL99" s="35">
        <f t="shared" si="94"/>
        <v>0.2</v>
      </c>
      <c r="AM99" s="36">
        <f t="shared" si="112"/>
        <v>0.2</v>
      </c>
      <c r="AN99" s="37"/>
      <c r="AO99" s="38"/>
      <c r="AP99" s="151">
        <v>1</v>
      </c>
      <c r="AQ99" s="151">
        <f t="shared" si="73"/>
        <v>0</v>
      </c>
      <c r="AR99" s="161">
        <v>3.1</v>
      </c>
      <c r="AS99" s="2">
        <f>IF(AR99&lt;=Sheet2!$D$2,Sheet2!$C$2,IF(AR99&lt;=Sheet2!$D$3,Sheet2!$C$3,IF(AR99&lt;=Sheet2!$D$4,Sheet2!$C$4,IF(AR99&lt;=Sheet2!$D$5,Sheet2!$C$5,IF(AR99&lt;=Sheet2!$D$6,Sheet2!$C$6,IF(AR99&lt;=Sheet2!$D$7,Sheet2!$C$7,IF(AR99&lt;=Sheet2!$D$8,Sheet2!$C$8,IF(AR99&lt;=Sheet2!$D$9,Sheet2!$C$9,IF(AR99&lt;=Sheet2!$D$10,Sheet2!$C$10,IF(AR99&lt;=Sheet2!$D$11,Sheet2!$C$11,0))))))))))</f>
        <v>253</v>
      </c>
      <c r="AT99" s="2">
        <f t="shared" si="80"/>
        <v>238</v>
      </c>
      <c r="AU99" s="38"/>
      <c r="AV99" s="38"/>
      <c r="AW99" s="38"/>
      <c r="AX99" s="38"/>
      <c r="AY99" s="38">
        <f t="shared" si="74"/>
        <v>12.65</v>
      </c>
      <c r="AZ99" s="39">
        <f t="shared" si="81"/>
        <v>527</v>
      </c>
      <c r="BA99" s="161" t="s">
        <v>377</v>
      </c>
      <c r="BB99" s="31" t="str">
        <f>IF(AR99&lt;=Sheet2!$D$2,Sheet2!$B$2,IF(AR99&lt;=Sheet2!$D$3,Sheet2!$B$3,IF(AR99&lt;=Sheet2!$D$4,Sheet2!$B$4,IF(AR99&lt;=Sheet2!$D$5,Sheet2!$B$5,IF(AR99&lt;=Sheet2!$D$6,Sheet2!$B$6,IF(AR99&lt;=Sheet2!$D$7,Sheet2!$B$7,IF(AR99&lt;=Sheet2!$D$8,Sheet2!$B$8,IF(AR99&lt;=Sheet2!$D$9,Sheet2!$B$9,IF(AR99&lt;=Sheet2!$D$10,Sheet2!$B$10,IF(AR99&lt;=Sheet2!$D$11,Sheet2!$B$11,0))))))))))</f>
        <v>FXSQ50A</v>
      </c>
    </row>
    <row r="100" spans="1:54" ht="13.95" customHeight="1" thickBot="1" x14ac:dyDescent="0.35">
      <c r="A100" t="s">
        <v>9</v>
      </c>
      <c r="B100" s="3">
        <v>95</v>
      </c>
      <c r="C100" s="64" t="s">
        <v>339</v>
      </c>
      <c r="D100" s="13" t="s">
        <v>244</v>
      </c>
      <c r="E100" s="13" t="s">
        <v>233</v>
      </c>
      <c r="F100" s="26" t="s">
        <v>233</v>
      </c>
      <c r="G100" s="14">
        <v>20</v>
      </c>
      <c r="H100" s="14">
        <f t="shared" si="82"/>
        <v>20</v>
      </c>
      <c r="I100" s="15">
        <v>3</v>
      </c>
      <c r="J100" s="41"/>
      <c r="K100" s="19">
        <f t="shared" si="111"/>
        <v>3</v>
      </c>
      <c r="L100" s="41">
        <v>0</v>
      </c>
      <c r="M100" s="17">
        <v>0</v>
      </c>
      <c r="N100" s="17">
        <f>VLOOKUP(A100,Data!A:B,2,FALSE)</f>
        <v>5</v>
      </c>
      <c r="O100" s="19">
        <f t="shared" ref="O100" si="121">L100</f>
        <v>0</v>
      </c>
      <c r="P100" s="16">
        <v>22</v>
      </c>
      <c r="Q100" s="14" t="s">
        <v>31</v>
      </c>
      <c r="R100" s="12">
        <f>VLOOKUP(A100,Data!A:D,4,FALSE)</f>
        <v>2.5</v>
      </c>
      <c r="S100" s="17">
        <f>VLOOKUP(A100,Data!A:C,3,FALSE)</f>
        <v>0.3</v>
      </c>
      <c r="T100" s="17"/>
      <c r="U100" s="17">
        <f t="shared" si="104"/>
        <v>13.5</v>
      </c>
      <c r="V100" s="29">
        <f t="shared" si="98"/>
        <v>15</v>
      </c>
      <c r="W100" s="91">
        <v>-10</v>
      </c>
      <c r="X100" s="62"/>
      <c r="Y100" s="34"/>
      <c r="Z100" s="34">
        <f t="shared" si="119"/>
        <v>12.75</v>
      </c>
      <c r="AA100" s="31">
        <v>0</v>
      </c>
      <c r="AB100" s="92">
        <v>0</v>
      </c>
      <c r="AC100" s="132"/>
      <c r="AD100" s="93" t="str">
        <f t="shared" si="77"/>
        <v>Positive</v>
      </c>
      <c r="AE100" s="107">
        <f t="shared" si="78"/>
        <v>0.3</v>
      </c>
      <c r="AF100" s="106" t="b">
        <f t="shared" si="79"/>
        <v>1</v>
      </c>
      <c r="AG100" s="16"/>
      <c r="AH100" s="17"/>
      <c r="AI100" s="18"/>
      <c r="AJ100" s="20"/>
      <c r="AK100" s="16">
        <f>VLOOKUP(A100,Data!A:F,6,FALSE)</f>
        <v>10</v>
      </c>
      <c r="AL100" s="18">
        <f t="shared" si="94"/>
        <v>0.2</v>
      </c>
      <c r="AM100" s="20">
        <f t="shared" si="112"/>
        <v>0.2</v>
      </c>
      <c r="AN100" s="21"/>
      <c r="AO100" s="22"/>
      <c r="AP100" s="152">
        <v>1</v>
      </c>
      <c r="AQ100" s="152">
        <f t="shared" si="73"/>
        <v>0</v>
      </c>
      <c r="AR100" s="162">
        <v>3.1</v>
      </c>
      <c r="AS100" s="17">
        <f>IF(AR100&lt;=Sheet2!$D$2,Sheet2!$C$2,IF(AR100&lt;=Sheet2!$D$3,Sheet2!$C$3,IF(AR100&lt;=Sheet2!$D$4,Sheet2!$C$4,IF(AR100&lt;=Sheet2!$D$5,Sheet2!$C$5,IF(AR100&lt;=Sheet2!$D$6,Sheet2!$C$6,IF(AR100&lt;=Sheet2!$D$7,Sheet2!$C$7,IF(AR100&lt;=Sheet2!$D$8,Sheet2!$C$8,IF(AR100&lt;=Sheet2!$D$9,Sheet2!$C$9,IF(AR100&lt;=Sheet2!$D$10,Sheet2!$C$10,IF(AR100&lt;=Sheet2!$D$11,Sheet2!$C$11,0))))))))))</f>
        <v>253</v>
      </c>
      <c r="AT100" s="2">
        <f t="shared" si="80"/>
        <v>238</v>
      </c>
      <c r="AU100" s="22"/>
      <c r="AV100" s="22"/>
      <c r="AW100" s="22"/>
      <c r="AX100" s="22"/>
      <c r="AY100" s="22">
        <f t="shared" si="74"/>
        <v>12.65</v>
      </c>
      <c r="AZ100" s="39">
        <f t="shared" si="81"/>
        <v>527</v>
      </c>
      <c r="BA100" s="162" t="s">
        <v>377</v>
      </c>
      <c r="BB100" s="31" t="str">
        <f>IF(AR100&lt;=Sheet2!$D$2,Sheet2!$B$2,IF(AR100&lt;=Sheet2!$D$3,Sheet2!$B$3,IF(AR100&lt;=Sheet2!$D$4,Sheet2!$B$4,IF(AR100&lt;=Sheet2!$D$5,Sheet2!$B$5,IF(AR100&lt;=Sheet2!$D$6,Sheet2!$B$6,IF(AR100&lt;=Sheet2!$D$7,Sheet2!$B$7,IF(AR100&lt;=Sheet2!$D$8,Sheet2!$B$8,IF(AR100&lt;=Sheet2!$D$9,Sheet2!$B$9,IF(AR100&lt;=Sheet2!$D$10,Sheet2!$B$10,IF(AR100&lt;=Sheet2!$D$11,Sheet2!$B$11,0))))))))))</f>
        <v>FXSQ50A</v>
      </c>
    </row>
    <row r="101" spans="1:54" ht="15" thickBot="1" x14ac:dyDescent="0.35">
      <c r="A101" t="s">
        <v>9</v>
      </c>
      <c r="B101" s="3">
        <v>96</v>
      </c>
      <c r="C101" s="64" t="s">
        <v>337</v>
      </c>
      <c r="D101" s="27" t="s">
        <v>245</v>
      </c>
      <c r="E101" s="27" t="s">
        <v>275</v>
      </c>
      <c r="F101" s="28" t="s">
        <v>234</v>
      </c>
      <c r="G101" s="29">
        <v>20</v>
      </c>
      <c r="H101" s="29">
        <f t="shared" si="82"/>
        <v>20</v>
      </c>
      <c r="I101" s="30">
        <v>3</v>
      </c>
      <c r="J101" s="42"/>
      <c r="K101" s="31">
        <f t="shared" si="111"/>
        <v>3</v>
      </c>
      <c r="L101" s="42"/>
      <c r="M101" s="2"/>
      <c r="N101" s="2">
        <f>VLOOKUP(A101,Data!A:B,2,FALSE)</f>
        <v>5</v>
      </c>
      <c r="O101" s="31"/>
      <c r="P101" s="32">
        <v>22</v>
      </c>
      <c r="Q101" s="29" t="s">
        <v>31</v>
      </c>
      <c r="R101" s="33">
        <f>VLOOKUP(A101,Data!A:D,4,FALSE)</f>
        <v>2.5</v>
      </c>
      <c r="S101" s="2">
        <f>VLOOKUP(A101,Data!A:C,3,FALSE)</f>
        <v>0.3</v>
      </c>
      <c r="T101" s="2"/>
      <c r="U101" s="2">
        <f t="shared" si="104"/>
        <v>13.5</v>
      </c>
      <c r="V101" s="29">
        <f t="shared" si="98"/>
        <v>15</v>
      </c>
      <c r="W101" s="91"/>
      <c r="X101" s="62"/>
      <c r="Y101" s="34"/>
      <c r="Z101" s="34">
        <f t="shared" si="119"/>
        <v>12.75</v>
      </c>
      <c r="AA101" s="31"/>
      <c r="AB101" s="92">
        <v>0</v>
      </c>
      <c r="AC101" s="132">
        <v>-10</v>
      </c>
      <c r="AD101" s="93" t="str">
        <f t="shared" si="77"/>
        <v>Positive</v>
      </c>
      <c r="AE101" s="107">
        <f t="shared" si="78"/>
        <v>0.3</v>
      </c>
      <c r="AF101" s="106" t="b">
        <f t="shared" si="79"/>
        <v>1</v>
      </c>
      <c r="AG101" s="32"/>
      <c r="AH101" s="2"/>
      <c r="AI101" s="35"/>
      <c r="AJ101" s="36"/>
      <c r="AK101" s="32">
        <f>VLOOKUP(A101,Data!A:F,6,FALSE)</f>
        <v>10</v>
      </c>
      <c r="AL101" s="35">
        <f t="shared" si="94"/>
        <v>0.2</v>
      </c>
      <c r="AM101" s="141">
        <f t="shared" si="112"/>
        <v>0.2</v>
      </c>
      <c r="AN101" s="27">
        <v>1.7</v>
      </c>
      <c r="AO101" s="27">
        <v>1.7</v>
      </c>
      <c r="AP101" s="153">
        <v>1</v>
      </c>
      <c r="AQ101" s="153">
        <f t="shared" si="73"/>
        <v>1.7</v>
      </c>
      <c r="AR101" s="161">
        <f>IF(AQ101&lt;[1]Sheet2!$D$2,[1]Sheet2!$D$2,IF(AQ101&lt;[1]Sheet2!$D$3,[1]Sheet2!$D$3,IF(AQ101&lt;[1]Sheet2!$D$4,[1]Sheet2!$D$4,IF(AQ101&lt;[1]Sheet2!$D$5,[1]Sheet2!$D$5,IF(AQ101&lt;[1]Sheet2!$D$6,[1]Sheet2!$D$6,IF(AQ101&lt;[1]Sheet2!$D$7,[1]Sheet2!$D$7,IF(AQ101&lt;[1]Sheet2!$D$8,[1]Sheet2!$D$8,IF(AQ101&lt;[1]Sheet2!$D$9,[1]Sheet2!$D$9,IF(AQ101&lt;[1]Sheet2!$D$10,[1]Sheet2!$D$10,IF(AQ101&lt;[1]Sheet2!$D$11,0))))))))))</f>
        <v>1.8</v>
      </c>
      <c r="AS101" s="2">
        <f>IF(AR101&lt;=Sheet2!$D$2,Sheet2!$C$2,IF(AR101&lt;=Sheet2!$D$3,Sheet2!$C$3,IF(AR101&lt;=Sheet2!$D$4,Sheet2!$C$4,IF(AR101&lt;=Sheet2!$D$5,Sheet2!$C$5,IF(AR101&lt;=Sheet2!$D$6,Sheet2!$C$6,IF(AR101&lt;=Sheet2!$D$7,Sheet2!$C$7,IF(AR101&lt;=Sheet2!$D$8,Sheet2!$C$8,IF(AR101&lt;=Sheet2!$D$9,Sheet2!$C$9,IF(AR101&lt;=Sheet2!$D$10,Sheet2!$C$10,IF(AR101&lt;=Sheet2!$D$11,Sheet2!$C$11,0))))))))))</f>
        <v>150</v>
      </c>
      <c r="AT101" s="2">
        <f t="shared" si="80"/>
        <v>135</v>
      </c>
      <c r="AU101" s="38"/>
      <c r="AV101" s="38"/>
      <c r="AW101" s="38"/>
      <c r="AX101" s="38"/>
      <c r="AY101" s="38">
        <f t="shared" ref="AY101:AY116" si="122">AS101/H101</f>
        <v>7.5</v>
      </c>
      <c r="AZ101" s="39">
        <f t="shared" si="81"/>
        <v>306</v>
      </c>
      <c r="BA101" s="161" t="s">
        <v>377</v>
      </c>
      <c r="BB101" s="31" t="str">
        <f>IF(AR101&lt;=Sheet2!$D$2,Sheet2!$B$2,IF(AR101&lt;=Sheet2!$D$3,Sheet2!$B$3,IF(AR101&lt;=Sheet2!$D$4,Sheet2!$B$4,IF(AR101&lt;=Sheet2!$D$5,Sheet2!$B$5,IF(AR101&lt;=Sheet2!$D$6,Sheet2!$B$6,IF(AR101&lt;=Sheet2!$D$7,Sheet2!$B$7,IF(AR101&lt;=Sheet2!$D$8,Sheet2!$B$8,IF(AR101&lt;=Sheet2!$D$9,Sheet2!$B$9,IF(AR101&lt;=Sheet2!$D$10,Sheet2!$B$10,IF(AR101&lt;=Sheet2!$D$11,Sheet2!$B$11,0))))))))))</f>
        <v>FXSQ25A</v>
      </c>
    </row>
    <row r="102" spans="1:54" ht="13.95" customHeight="1" thickBot="1" x14ac:dyDescent="0.35">
      <c r="A102" t="s">
        <v>284</v>
      </c>
      <c r="B102" s="3">
        <v>97</v>
      </c>
      <c r="C102" s="64" t="s">
        <v>337</v>
      </c>
      <c r="D102" s="13" t="s">
        <v>246</v>
      </c>
      <c r="E102" s="13" t="s">
        <v>276</v>
      </c>
      <c r="F102" s="26" t="s">
        <v>235</v>
      </c>
      <c r="G102" s="14">
        <f>4*6.1</f>
        <v>24.4</v>
      </c>
      <c r="H102" s="14">
        <f t="shared" si="82"/>
        <v>24.4</v>
      </c>
      <c r="I102" s="15">
        <v>18</v>
      </c>
      <c r="J102" s="41"/>
      <c r="K102" s="19">
        <f t="shared" si="111"/>
        <v>18</v>
      </c>
      <c r="L102" s="41">
        <v>0</v>
      </c>
      <c r="M102" s="17">
        <v>0</v>
      </c>
      <c r="N102" s="17">
        <f>VLOOKUP(A102,Data!A:B,2,FALSE)</f>
        <v>50</v>
      </c>
      <c r="O102" s="19">
        <f t="shared" ref="O102" si="123">L102</f>
        <v>0</v>
      </c>
      <c r="P102" s="16">
        <v>22</v>
      </c>
      <c r="Q102" s="14" t="s">
        <v>31</v>
      </c>
      <c r="R102" s="12">
        <f>VLOOKUP(A102,Data!A:D,4,FALSE)</f>
        <v>2.5</v>
      </c>
      <c r="S102" s="17">
        <f>VLOOKUP(A102,Data!A:C,3,FALSE)</f>
        <v>0.3</v>
      </c>
      <c r="T102" s="17"/>
      <c r="U102" s="17">
        <f t="shared" si="104"/>
        <v>52.32</v>
      </c>
      <c r="V102" s="29">
        <f t="shared" si="98"/>
        <v>55</v>
      </c>
      <c r="W102" s="91"/>
      <c r="X102" s="62"/>
      <c r="Y102" s="34"/>
      <c r="Z102" s="34">
        <f t="shared" si="119"/>
        <v>46.75</v>
      </c>
      <c r="AA102" s="31"/>
      <c r="AB102" s="92">
        <v>0</v>
      </c>
      <c r="AC102" s="132">
        <v>-45</v>
      </c>
      <c r="AD102" s="93" t="str">
        <f t="shared" si="77"/>
        <v>Positive</v>
      </c>
      <c r="AE102" s="107">
        <f t="shared" si="78"/>
        <v>0.49</v>
      </c>
      <c r="AF102" s="106" t="b">
        <f t="shared" si="79"/>
        <v>1</v>
      </c>
      <c r="AG102" s="16"/>
      <c r="AH102" s="17"/>
      <c r="AI102" s="18"/>
      <c r="AJ102" s="20"/>
      <c r="AK102" s="16">
        <f>VLOOKUP(A102,Data!A:F,6,FALSE)</f>
        <v>10</v>
      </c>
      <c r="AL102" s="18">
        <f t="shared" si="94"/>
        <v>0.24399999999999999</v>
      </c>
      <c r="AM102" s="140">
        <f t="shared" si="112"/>
        <v>0.24399999999999999</v>
      </c>
      <c r="AN102" s="27">
        <v>5.0999999999999996</v>
      </c>
      <c r="AO102" s="27">
        <v>5.0999999999999996</v>
      </c>
      <c r="AP102" s="153">
        <v>1</v>
      </c>
      <c r="AQ102" s="153">
        <f t="shared" si="73"/>
        <v>5.0999999999999996</v>
      </c>
      <c r="AR102" s="161">
        <f>IF(AQ102&lt;[1]Sheet2!$D$2,[1]Sheet2!$D$2,IF(AQ102&lt;[1]Sheet2!$D$3,[1]Sheet2!$D$3,IF(AQ102&lt;[1]Sheet2!$D$4,[1]Sheet2!$D$4,IF(AQ102&lt;[1]Sheet2!$D$5,[1]Sheet2!$D$5,IF(AQ102&lt;[1]Sheet2!$D$6,[1]Sheet2!$D$6,IF(AQ102&lt;[1]Sheet2!$D$7,[1]Sheet2!$D$7,IF(AQ102&lt;[1]Sheet2!$D$8,[1]Sheet2!$D$8,IF(AQ102&lt;[1]Sheet2!$D$9,[1]Sheet2!$D$9,IF(AQ102&lt;[1]Sheet2!$D$10,[1]Sheet2!$D$10,IF(AQ102&lt;[1]Sheet2!$D$11,0))))))))))</f>
        <v>5.8</v>
      </c>
      <c r="AS102" s="2">
        <f>IF(AR102&lt;=Sheet2!$D$2,Sheet2!$C$2,IF(AR102&lt;=Sheet2!$D$3,Sheet2!$C$3,IF(AR102&lt;=Sheet2!$D$4,Sheet2!$C$4,IF(AR102&lt;=Sheet2!$D$5,Sheet2!$C$5,IF(AR102&lt;=Sheet2!$D$6,Sheet2!$C$6,IF(AR102&lt;=Sheet2!$D$7,Sheet2!$C$7,IF(AR102&lt;=Sheet2!$D$8,Sheet2!$C$8,IF(AR102&lt;=Sheet2!$D$9,Sheet2!$C$9,IF(AR102&lt;=Sheet2!$D$10,Sheet2!$C$10,IF(AR102&lt;=Sheet2!$D$11,Sheet2!$C$11,0))))))))))</f>
        <v>383</v>
      </c>
      <c r="AT102" s="2">
        <f t="shared" si="80"/>
        <v>328</v>
      </c>
      <c r="AU102" s="22"/>
      <c r="AV102" s="22"/>
      <c r="AW102" s="22"/>
      <c r="AX102" s="22"/>
      <c r="AY102" s="22">
        <f t="shared" si="122"/>
        <v>15.696721311475411</v>
      </c>
      <c r="AZ102" s="39">
        <f t="shared" si="81"/>
        <v>808.19672131147547</v>
      </c>
      <c r="BA102" s="162" t="s">
        <v>377</v>
      </c>
      <c r="BB102" s="31" t="str">
        <f>IF(AR102&lt;=Sheet2!$D$2,Sheet2!$B$2,IF(AR102&lt;=Sheet2!$D$3,Sheet2!$B$3,IF(AR102&lt;=Sheet2!$D$4,Sheet2!$B$4,IF(AR102&lt;=Sheet2!$D$5,Sheet2!$B$5,IF(AR102&lt;=Sheet2!$D$6,Sheet2!$B$6,IF(AR102&lt;=Sheet2!$D$7,Sheet2!$B$7,IF(AR102&lt;=Sheet2!$D$8,Sheet2!$B$8,IF(AR102&lt;=Sheet2!$D$9,Sheet2!$B$9,IF(AR102&lt;=Sheet2!$D$10,Sheet2!$B$10,IF(AR102&lt;=Sheet2!$D$11,Sheet2!$B$11,0))))))))))</f>
        <v>FXSQ80A</v>
      </c>
    </row>
    <row r="103" spans="1:54" ht="15" thickBot="1" x14ac:dyDescent="0.35">
      <c r="A103" t="s">
        <v>9</v>
      </c>
      <c r="B103" s="3">
        <v>98</v>
      </c>
      <c r="C103" s="64" t="s">
        <v>337</v>
      </c>
      <c r="D103" s="135" t="s">
        <v>247</v>
      </c>
      <c r="E103" s="27" t="s">
        <v>277</v>
      </c>
      <c r="F103" s="28" t="s">
        <v>236</v>
      </c>
      <c r="G103" s="29">
        <v>287</v>
      </c>
      <c r="H103" s="47">
        <f t="shared" si="82"/>
        <v>287</v>
      </c>
      <c r="I103" s="30">
        <v>24</v>
      </c>
      <c r="J103" s="42"/>
      <c r="K103" s="49">
        <f t="shared" si="111"/>
        <v>24</v>
      </c>
      <c r="L103" s="42"/>
      <c r="M103" s="2"/>
      <c r="N103" s="2">
        <f>VLOOKUP(A103,Data!A:B,2,FALSE)</f>
        <v>5</v>
      </c>
      <c r="O103" s="31"/>
      <c r="P103" s="32">
        <v>22</v>
      </c>
      <c r="Q103" s="29" t="s">
        <v>31</v>
      </c>
      <c r="R103" s="33">
        <f>VLOOKUP(A103,Data!A:D,4,FALSE)</f>
        <v>2.5</v>
      </c>
      <c r="S103" s="2">
        <f>VLOOKUP(A103,Data!A:C,3,FALSE)</f>
        <v>0.3</v>
      </c>
      <c r="T103" s="2"/>
      <c r="U103" s="2">
        <f t="shared" si="104"/>
        <v>146.1</v>
      </c>
      <c r="V103" s="29">
        <f t="shared" si="98"/>
        <v>150</v>
      </c>
      <c r="W103" s="91"/>
      <c r="X103" s="62"/>
      <c r="Y103" s="34"/>
      <c r="Z103" s="34">
        <f t="shared" si="119"/>
        <v>127.5</v>
      </c>
      <c r="AA103" s="31"/>
      <c r="AB103" s="92"/>
      <c r="AC103" s="132">
        <v>-75</v>
      </c>
      <c r="AD103" s="93" t="str">
        <f t="shared" si="77"/>
        <v>Positive</v>
      </c>
      <c r="AE103" s="107">
        <f t="shared" si="78"/>
        <v>0.31</v>
      </c>
      <c r="AF103" s="106" t="b">
        <f t="shared" si="79"/>
        <v>1</v>
      </c>
      <c r="AG103" s="32"/>
      <c r="AH103" s="2"/>
      <c r="AI103" s="35"/>
      <c r="AJ103" s="36"/>
      <c r="AK103" s="32">
        <f>VLOOKUP(A103,Data!A:F,6,FALSE)</f>
        <v>10</v>
      </c>
      <c r="AL103" s="35">
        <f t="shared" si="94"/>
        <v>2.87</v>
      </c>
      <c r="AM103" s="141">
        <f t="shared" si="112"/>
        <v>2.87</v>
      </c>
      <c r="AN103" s="38"/>
      <c r="AO103" s="38"/>
      <c r="AP103" s="153">
        <v>1</v>
      </c>
      <c r="AQ103" s="153">
        <f t="shared" si="73"/>
        <v>0</v>
      </c>
      <c r="AR103" s="161">
        <v>30.8</v>
      </c>
      <c r="AS103" s="2">
        <f>IF(AR103&lt;=Sheet2!$D$2,Sheet2!$C$2,IF(AR103&lt;=Sheet2!$D$3,Sheet2!$C$3,IF(AR103&lt;=Sheet2!$D$4,Sheet2!$C$4,IF(AR103&lt;=Sheet2!$D$5,Sheet2!$C$5,IF(AR103&lt;=Sheet2!$D$6,Sheet2!$C$6,IF(AR103&lt;=Sheet2!$D$7,Sheet2!$C$7,IF(AR103&lt;=Sheet2!$D$8,Sheet2!$C$8,IF(AR103&lt;=Sheet2!$D$9,Sheet2!$C$9,IF(AR103&lt;=Sheet2!$D$10,Sheet2!$C$10,IF(AR103&lt;=Sheet2!$D$11,Sheet2!$C$11,0))))))))))</f>
        <v>0</v>
      </c>
      <c r="AT103" s="2">
        <f t="shared" si="80"/>
        <v>-150</v>
      </c>
      <c r="AU103" s="38"/>
      <c r="AV103" s="38"/>
      <c r="AW103" s="38"/>
      <c r="AX103" s="38"/>
      <c r="AY103" s="38">
        <f t="shared" si="122"/>
        <v>0</v>
      </c>
      <c r="AZ103" s="39">
        <f t="shared" si="81"/>
        <v>364.8780487804878</v>
      </c>
      <c r="BA103" s="161" t="s">
        <v>378</v>
      </c>
      <c r="BB103" s="31">
        <f>IF(AR103&lt;=Sheet2!$D$2,Sheet2!$B$2,IF(AR103&lt;=Sheet2!$D$3,Sheet2!$B$3,IF(AR103&lt;=Sheet2!$D$4,Sheet2!$B$4,IF(AR103&lt;=Sheet2!$D$5,Sheet2!$B$5,IF(AR103&lt;=Sheet2!$D$6,Sheet2!$B$6,IF(AR103&lt;=Sheet2!$D$7,Sheet2!$B$7,IF(AR103&lt;=Sheet2!$D$8,Sheet2!$B$8,IF(AR103&lt;=Sheet2!$D$9,Sheet2!$B$9,IF(AR103&lt;=Sheet2!$D$10,Sheet2!$B$10,IF(AR103&lt;=Sheet2!$D$11,Sheet2!$B$11,0))))))))))</f>
        <v>0</v>
      </c>
    </row>
    <row r="104" spans="1:54" ht="15" thickBot="1" x14ac:dyDescent="0.35">
      <c r="A104" t="s">
        <v>8</v>
      </c>
      <c r="B104" s="3">
        <v>99</v>
      </c>
      <c r="C104" s="64" t="s">
        <v>336</v>
      </c>
      <c r="D104" s="135" t="s">
        <v>248</v>
      </c>
      <c r="E104" s="13" t="s">
        <v>8</v>
      </c>
      <c r="F104" s="26"/>
      <c r="G104" s="14">
        <v>58</v>
      </c>
      <c r="H104" s="43">
        <f t="shared" si="82"/>
        <v>58</v>
      </c>
      <c r="I104" s="15">
        <v>0</v>
      </c>
      <c r="J104" s="41"/>
      <c r="K104" s="48">
        <f t="shared" si="111"/>
        <v>0</v>
      </c>
      <c r="L104" s="41"/>
      <c r="M104" s="17"/>
      <c r="N104" s="17">
        <f>VLOOKUP(A104,Data!A:B,2,FALSE)</f>
        <v>0</v>
      </c>
      <c r="O104" s="19"/>
      <c r="P104" s="16">
        <v>22</v>
      </c>
      <c r="Q104" s="14" t="s">
        <v>31</v>
      </c>
      <c r="R104" s="12">
        <f>VLOOKUP(A104,Data!A:D,4,FALSE)</f>
        <v>0</v>
      </c>
      <c r="S104" s="17">
        <f>VLOOKUP(A104,Data!A:C,3,FALSE)</f>
        <v>0.3</v>
      </c>
      <c r="T104" s="17"/>
      <c r="U104" s="17">
        <f t="shared" si="104"/>
        <v>17.399999999999999</v>
      </c>
      <c r="V104" s="29">
        <v>150</v>
      </c>
      <c r="W104" s="91">
        <v>-130</v>
      </c>
      <c r="X104" s="62"/>
      <c r="Y104" s="34"/>
      <c r="Z104" s="34">
        <f t="shared" si="119"/>
        <v>127.5</v>
      </c>
      <c r="AA104" s="31"/>
      <c r="AB104" s="92">
        <v>0</v>
      </c>
      <c r="AC104" s="132"/>
      <c r="AD104" s="93" t="str">
        <f t="shared" si="77"/>
        <v>Positive</v>
      </c>
      <c r="AE104" s="107">
        <f t="shared" si="78"/>
        <v>0.41</v>
      </c>
      <c r="AF104" s="106" t="b">
        <f t="shared" si="79"/>
        <v>1</v>
      </c>
      <c r="AG104" s="16"/>
      <c r="AH104" s="17"/>
      <c r="AI104" s="18"/>
      <c r="AJ104" s="20"/>
      <c r="AK104" s="16">
        <f>VLOOKUP(A104,Data!A:F,6,FALSE)</f>
        <v>10</v>
      </c>
      <c r="AL104" s="18">
        <f t="shared" si="94"/>
        <v>0.57999999999999996</v>
      </c>
      <c r="AM104" s="20">
        <f t="shared" ref="AM104:AM105" si="124">AL104</f>
        <v>0.57999999999999996</v>
      </c>
      <c r="AN104" s="144"/>
      <c r="AO104" s="145"/>
      <c r="AP104" s="156">
        <v>1</v>
      </c>
      <c r="AQ104" s="156">
        <f t="shared" si="73"/>
        <v>0</v>
      </c>
      <c r="AR104" s="162">
        <v>1.7</v>
      </c>
      <c r="AS104" s="17">
        <f>IF(AR104&lt;=Sheet2!$D$2,Sheet2!$C$2,IF(AR104&lt;=Sheet2!$D$3,Sheet2!$C$3,IF(AR104&lt;=Sheet2!$D$4,Sheet2!$C$4,IF(AR104&lt;=Sheet2!$D$5,Sheet2!$C$5,IF(AR104&lt;=Sheet2!$D$6,Sheet2!$C$6,IF(AR104&lt;=Sheet2!$D$7,Sheet2!$C$7,IF(AR104&lt;=Sheet2!$D$8,Sheet2!$C$8,IF(AR104&lt;=Sheet2!$D$9,Sheet2!$C$9,IF(AR104&lt;=Sheet2!$D$10,Sheet2!$C$10,IF(AR104&lt;=Sheet2!$D$11,Sheet2!$C$11,0))))))))))</f>
        <v>150</v>
      </c>
      <c r="AT104" s="2">
        <f t="shared" si="80"/>
        <v>0</v>
      </c>
      <c r="AU104" s="22"/>
      <c r="AV104" s="22"/>
      <c r="AW104" s="22"/>
      <c r="AX104" s="22"/>
      <c r="AY104" s="22">
        <f t="shared" si="122"/>
        <v>2.5862068965517242</v>
      </c>
      <c r="AZ104" s="39">
        <f t="shared" si="81"/>
        <v>99.655172413793096</v>
      </c>
      <c r="BA104" s="162" t="s">
        <v>378</v>
      </c>
      <c r="BB104" s="31" t="str">
        <f>IF(AR104&lt;=Sheet2!$D$2,Sheet2!$B$2,IF(AR104&lt;=Sheet2!$D$3,Sheet2!$B$3,IF(AR104&lt;=Sheet2!$D$4,Sheet2!$B$4,IF(AR104&lt;=Sheet2!$D$5,Sheet2!$B$5,IF(AR104&lt;=Sheet2!$D$6,Sheet2!$B$6,IF(AR104&lt;=Sheet2!$D$7,Sheet2!$B$7,IF(AR104&lt;=Sheet2!$D$8,Sheet2!$B$8,IF(AR104&lt;=Sheet2!$D$9,Sheet2!$B$9,IF(AR104&lt;=Sheet2!$D$10,Sheet2!$B$10,IF(AR104&lt;=Sheet2!$D$11,Sheet2!$B$11,0))))))))))</f>
        <v>FXSQ25A</v>
      </c>
    </row>
    <row r="105" spans="1:54" ht="15" thickBot="1" x14ac:dyDescent="0.35">
      <c r="A105" t="s">
        <v>8</v>
      </c>
      <c r="B105" s="3">
        <v>100</v>
      </c>
      <c r="C105" s="64" t="s">
        <v>334</v>
      </c>
      <c r="D105" s="135" t="s">
        <v>249</v>
      </c>
      <c r="E105" s="27" t="s">
        <v>8</v>
      </c>
      <c r="F105" s="28"/>
      <c r="G105" s="29">
        <v>23.5</v>
      </c>
      <c r="H105" s="47">
        <f t="shared" si="82"/>
        <v>23.5</v>
      </c>
      <c r="I105" s="30">
        <v>0</v>
      </c>
      <c r="J105" s="42"/>
      <c r="K105" s="49">
        <f t="shared" si="111"/>
        <v>0</v>
      </c>
      <c r="L105" s="42"/>
      <c r="M105" s="2"/>
      <c r="N105" s="2">
        <f>VLOOKUP(A105,Data!A:B,2,FALSE)</f>
        <v>0</v>
      </c>
      <c r="O105" s="31"/>
      <c r="P105" s="32">
        <v>22</v>
      </c>
      <c r="Q105" s="29" t="s">
        <v>31</v>
      </c>
      <c r="R105" s="33">
        <f>VLOOKUP(A105,Data!A:D,4,FALSE)</f>
        <v>0</v>
      </c>
      <c r="S105" s="2">
        <f>VLOOKUP(A105,Data!A:C,3,FALSE)</f>
        <v>0.3</v>
      </c>
      <c r="T105" s="2"/>
      <c r="U105" s="2">
        <f t="shared" si="104"/>
        <v>7.05</v>
      </c>
      <c r="V105" s="29">
        <v>130</v>
      </c>
      <c r="W105" s="91">
        <v>-118</v>
      </c>
      <c r="X105" s="62"/>
      <c r="Y105" s="34"/>
      <c r="Z105" s="34">
        <f t="shared" si="119"/>
        <v>110.5</v>
      </c>
      <c r="AA105" s="31"/>
      <c r="AB105" s="92">
        <v>0</v>
      </c>
      <c r="AC105" s="132"/>
      <c r="AD105" s="93" t="str">
        <f t="shared" si="77"/>
        <v>Positive</v>
      </c>
      <c r="AE105" s="107">
        <f t="shared" si="78"/>
        <v>0.61</v>
      </c>
      <c r="AF105" s="106" t="b">
        <f t="shared" si="79"/>
        <v>1</v>
      </c>
      <c r="AG105" s="32"/>
      <c r="AH105" s="2"/>
      <c r="AI105" s="35"/>
      <c r="AJ105" s="36"/>
      <c r="AK105" s="32">
        <f>VLOOKUP(A105,Data!A:F,6,FALSE)</f>
        <v>10</v>
      </c>
      <c r="AL105" s="35">
        <f t="shared" si="94"/>
        <v>0.23499999999999999</v>
      </c>
      <c r="AM105" s="36">
        <f t="shared" si="124"/>
        <v>0.23499999999999999</v>
      </c>
      <c r="AN105" s="37"/>
      <c r="AO105" s="38"/>
      <c r="AP105" s="151">
        <v>1</v>
      </c>
      <c r="AQ105" s="151">
        <f t="shared" si="73"/>
        <v>0</v>
      </c>
      <c r="AR105" s="161">
        <v>0.8</v>
      </c>
      <c r="AS105" s="2">
        <f>IF(AR105&lt;=Sheet2!$D$2,Sheet2!$C$2,IF(AR105&lt;=Sheet2!$D$3,Sheet2!$C$3,IF(AR105&lt;=Sheet2!$D$4,Sheet2!$C$4,IF(AR105&lt;=Sheet2!$D$5,Sheet2!$C$5,IF(AR105&lt;=Sheet2!$D$6,Sheet2!$C$6,IF(AR105&lt;=Sheet2!$D$7,Sheet2!$C$7,IF(AR105&lt;=Sheet2!$D$8,Sheet2!$C$8,IF(AR105&lt;=Sheet2!$D$9,Sheet2!$C$9,IF(AR105&lt;=Sheet2!$D$10,Sheet2!$C$10,IF(AR105&lt;=Sheet2!$D$11,Sheet2!$C$11,0))))))))))</f>
        <v>150</v>
      </c>
      <c r="AT105" s="2">
        <f t="shared" si="80"/>
        <v>20</v>
      </c>
      <c r="AU105" s="38"/>
      <c r="AV105" s="38"/>
      <c r="AW105" s="38"/>
      <c r="AX105" s="38"/>
      <c r="AY105" s="38">
        <f t="shared" si="122"/>
        <v>6.3829787234042552</v>
      </c>
      <c r="AZ105" s="39">
        <f t="shared" si="81"/>
        <v>115.74468085106382</v>
      </c>
      <c r="BA105" s="161" t="s">
        <v>378</v>
      </c>
      <c r="BB105" s="31" t="str">
        <f>IF(AR105&lt;=Sheet2!$D$2,Sheet2!$B$2,IF(AR105&lt;=Sheet2!$D$3,Sheet2!$B$3,IF(AR105&lt;=Sheet2!$D$4,Sheet2!$B$4,IF(AR105&lt;=Sheet2!$D$5,Sheet2!$B$5,IF(AR105&lt;=Sheet2!$D$6,Sheet2!$B$6,IF(AR105&lt;=Sheet2!$D$7,Sheet2!$B$7,IF(AR105&lt;=Sheet2!$D$8,Sheet2!$B$8,IF(AR105&lt;=Sheet2!$D$9,Sheet2!$B$9,IF(AR105&lt;=Sheet2!$D$10,Sheet2!$B$10,IF(AR105&lt;=Sheet2!$D$11,Sheet2!$B$11,0))))))))))</f>
        <v>FXSQ20A</v>
      </c>
    </row>
    <row r="106" spans="1:54" ht="15" thickBot="1" x14ac:dyDescent="0.35">
      <c r="A106" t="s">
        <v>8</v>
      </c>
      <c r="B106" s="3">
        <v>101</v>
      </c>
      <c r="C106" s="64" t="s">
        <v>340</v>
      </c>
      <c r="D106" s="13" t="s">
        <v>250</v>
      </c>
      <c r="E106" s="13" t="s">
        <v>8</v>
      </c>
      <c r="F106" s="26"/>
      <c r="G106" s="14">
        <v>23.5</v>
      </c>
      <c r="H106" s="43">
        <f t="shared" si="82"/>
        <v>23.5</v>
      </c>
      <c r="I106" s="15">
        <v>0</v>
      </c>
      <c r="J106" s="41"/>
      <c r="K106" s="48">
        <f t="shared" si="111"/>
        <v>0</v>
      </c>
      <c r="L106" s="41"/>
      <c r="M106" s="17"/>
      <c r="N106" s="17">
        <f>VLOOKUP(A106,Data!A:B,2,FALSE)</f>
        <v>0</v>
      </c>
      <c r="O106" s="19"/>
      <c r="P106" s="16">
        <v>22</v>
      </c>
      <c r="Q106" s="14" t="s">
        <v>31</v>
      </c>
      <c r="R106" s="12">
        <f>VLOOKUP(A106,Data!A:D,4,FALSE)</f>
        <v>0</v>
      </c>
      <c r="S106" s="17">
        <f>VLOOKUP(A106,Data!A:C,3,FALSE)</f>
        <v>0.3</v>
      </c>
      <c r="T106" s="17"/>
      <c r="U106" s="17">
        <f t="shared" si="104"/>
        <v>7.05</v>
      </c>
      <c r="V106" s="29">
        <v>145</v>
      </c>
      <c r="W106" s="91">
        <v>-130</v>
      </c>
      <c r="X106" s="62"/>
      <c r="Y106" s="34"/>
      <c r="Z106" s="34">
        <f t="shared" si="119"/>
        <v>123.25</v>
      </c>
      <c r="AA106" s="31">
        <v>0</v>
      </c>
      <c r="AB106" s="92">
        <v>0</v>
      </c>
      <c r="AC106" s="132"/>
      <c r="AD106" s="93" t="str">
        <f t="shared" si="77"/>
        <v>Positive</v>
      </c>
      <c r="AE106" s="107">
        <f t="shared" si="78"/>
        <v>0.77</v>
      </c>
      <c r="AF106" s="106" t="b">
        <f t="shared" si="79"/>
        <v>1</v>
      </c>
      <c r="AG106" s="16"/>
      <c r="AH106" s="17"/>
      <c r="AI106" s="18"/>
      <c r="AJ106" s="20"/>
      <c r="AK106" s="16">
        <f>VLOOKUP(A106,Data!A:F,6,FALSE)</f>
        <v>10</v>
      </c>
      <c r="AL106" s="18">
        <f t="shared" si="94"/>
        <v>0.23499999999999999</v>
      </c>
      <c r="AM106" s="20">
        <f t="shared" ref="AM106" si="125">AL106</f>
        <v>0.23499999999999999</v>
      </c>
      <c r="AN106" s="21"/>
      <c r="AO106" s="22"/>
      <c r="AP106" s="152">
        <v>1</v>
      </c>
      <c r="AQ106" s="152">
        <f t="shared" si="73"/>
        <v>0</v>
      </c>
      <c r="AR106" s="162">
        <v>0.9</v>
      </c>
      <c r="AS106" s="17">
        <f>IF(AR106&lt;=Sheet2!$D$2,Sheet2!$C$2,IF(AR106&lt;=Sheet2!$D$3,Sheet2!$C$3,IF(AR106&lt;=Sheet2!$D$4,Sheet2!$C$4,IF(AR106&lt;=Sheet2!$D$5,Sheet2!$C$5,IF(AR106&lt;=Sheet2!$D$6,Sheet2!$C$6,IF(AR106&lt;=Sheet2!$D$7,Sheet2!$C$7,IF(AR106&lt;=Sheet2!$D$8,Sheet2!$C$8,IF(AR106&lt;=Sheet2!$D$9,Sheet2!$C$9,IF(AR106&lt;=Sheet2!$D$10,Sheet2!$C$10,IF(AR106&lt;=Sheet2!$D$11,Sheet2!$C$11,0))))))))))</f>
        <v>150</v>
      </c>
      <c r="AT106" s="2">
        <f t="shared" si="80"/>
        <v>5</v>
      </c>
      <c r="AU106" s="22"/>
      <c r="AV106" s="22"/>
      <c r="AW106" s="22"/>
      <c r="AX106" s="22"/>
      <c r="AY106" s="22">
        <f t="shared" si="122"/>
        <v>6.3829787234042552</v>
      </c>
      <c r="AZ106" s="39">
        <f t="shared" si="81"/>
        <v>130.21276595744681</v>
      </c>
      <c r="BA106" s="162" t="s">
        <v>378</v>
      </c>
      <c r="BB106" s="31" t="str">
        <f>IF(AR106&lt;=Sheet2!$D$2,Sheet2!$B$2,IF(AR106&lt;=Sheet2!$D$3,Sheet2!$B$3,IF(AR106&lt;=Sheet2!$D$4,Sheet2!$B$4,IF(AR106&lt;=Sheet2!$D$5,Sheet2!$B$5,IF(AR106&lt;=Sheet2!$D$6,Sheet2!$B$6,IF(AR106&lt;=Sheet2!$D$7,Sheet2!$B$7,IF(AR106&lt;=Sheet2!$D$8,Sheet2!$B$8,IF(AR106&lt;=Sheet2!$D$9,Sheet2!$B$9,IF(AR106&lt;=Sheet2!$D$10,Sheet2!$B$10,IF(AR106&lt;=Sheet2!$D$11,Sheet2!$B$11,0))))))))))</f>
        <v>FXSQ20A</v>
      </c>
    </row>
    <row r="107" spans="1:54" ht="15" thickBot="1" x14ac:dyDescent="0.35">
      <c r="A107" t="s">
        <v>8</v>
      </c>
      <c r="B107" s="3">
        <v>102</v>
      </c>
      <c r="C107" s="64" t="s">
        <v>339</v>
      </c>
      <c r="D107" s="27" t="s">
        <v>251</v>
      </c>
      <c r="E107" s="27" t="s">
        <v>8</v>
      </c>
      <c r="F107" s="29"/>
      <c r="G107" s="29">
        <f>68.3+3.3</f>
        <v>71.599999999999994</v>
      </c>
      <c r="H107" s="47">
        <f t="shared" si="82"/>
        <v>71.599999999999994</v>
      </c>
      <c r="I107" s="30">
        <v>0</v>
      </c>
      <c r="J107" s="42"/>
      <c r="K107" s="49">
        <f t="shared" si="111"/>
        <v>0</v>
      </c>
      <c r="L107" s="42"/>
      <c r="M107" s="2"/>
      <c r="N107" s="2">
        <f>VLOOKUP(A107,Data!A:B,2,FALSE)</f>
        <v>0</v>
      </c>
      <c r="O107" s="31"/>
      <c r="P107" s="32">
        <v>22</v>
      </c>
      <c r="Q107" s="29" t="s">
        <v>31</v>
      </c>
      <c r="R107" s="33">
        <f>VLOOKUP(A107,Data!A:D,4,FALSE)</f>
        <v>0</v>
      </c>
      <c r="S107" s="2">
        <f>VLOOKUP(A107,Data!A:C,3,FALSE)</f>
        <v>0.3</v>
      </c>
      <c r="T107" s="2"/>
      <c r="U107" s="2">
        <f t="shared" si="104"/>
        <v>21.479999999999997</v>
      </c>
      <c r="V107" s="95">
        <v>140</v>
      </c>
      <c r="W107" s="91">
        <v>-105</v>
      </c>
      <c r="X107" s="62"/>
      <c r="Y107" s="34"/>
      <c r="Z107" s="34">
        <f t="shared" si="119"/>
        <v>119</v>
      </c>
      <c r="AA107" s="31">
        <v>0</v>
      </c>
      <c r="AB107" s="92">
        <v>0</v>
      </c>
      <c r="AC107" s="132"/>
      <c r="AD107" s="93" t="str">
        <f t="shared" si="77"/>
        <v>Positive</v>
      </c>
      <c r="AE107" s="107">
        <f t="shared" si="78"/>
        <v>0.59</v>
      </c>
      <c r="AF107" s="106" t="b">
        <f t="shared" si="79"/>
        <v>1</v>
      </c>
      <c r="AG107" s="32"/>
      <c r="AH107" s="2"/>
      <c r="AI107" s="35"/>
      <c r="AJ107" s="36"/>
      <c r="AK107" s="32">
        <f>VLOOKUP(A107,Data!A:F,6,FALSE)</f>
        <v>10</v>
      </c>
      <c r="AL107" s="35">
        <f t="shared" si="94"/>
        <v>0.71599999999999997</v>
      </c>
      <c r="AM107" s="36">
        <f t="shared" ref="AM107" si="126">AL107</f>
        <v>0.71599999999999997</v>
      </c>
      <c r="AN107" s="37"/>
      <c r="AO107" s="38"/>
      <c r="AP107" s="151">
        <v>1</v>
      </c>
      <c r="AQ107" s="151">
        <f t="shared" si="73"/>
        <v>0</v>
      </c>
      <c r="AR107" s="161">
        <v>1.8</v>
      </c>
      <c r="AS107" s="2">
        <f>IF(AR107&lt;=Sheet2!$D$2,Sheet2!$C$2,IF(AR107&lt;=Sheet2!$D$3,Sheet2!$C$3,IF(AR107&lt;=Sheet2!$D$4,Sheet2!$C$4,IF(AR107&lt;=Sheet2!$D$5,Sheet2!$C$5,IF(AR107&lt;=Sheet2!$D$6,Sheet2!$C$6,IF(AR107&lt;=Sheet2!$D$7,Sheet2!$C$7,IF(AR107&lt;=Sheet2!$D$8,Sheet2!$C$8,IF(AR107&lt;=Sheet2!$D$9,Sheet2!$C$9,IF(AR107&lt;=Sheet2!$D$10,Sheet2!$C$10,IF(AR107&lt;=Sheet2!$D$11,Sheet2!$C$11,0))))))))))</f>
        <v>150</v>
      </c>
      <c r="AT107" s="2">
        <f t="shared" si="80"/>
        <v>10</v>
      </c>
      <c r="AU107" s="38"/>
      <c r="AV107" s="38"/>
      <c r="AW107" s="38"/>
      <c r="AX107" s="38"/>
      <c r="AY107" s="38">
        <f t="shared" si="122"/>
        <v>2.0949720670391061</v>
      </c>
      <c r="AZ107" s="39">
        <f t="shared" si="81"/>
        <v>85.474860335195544</v>
      </c>
      <c r="BA107" s="161" t="s">
        <v>378</v>
      </c>
      <c r="BB107" s="31" t="str">
        <f>IF(AR107&lt;=Sheet2!$D$2,Sheet2!$B$2,IF(AR107&lt;=Sheet2!$D$3,Sheet2!$B$3,IF(AR107&lt;=Sheet2!$D$4,Sheet2!$B$4,IF(AR107&lt;=Sheet2!$D$5,Sheet2!$B$5,IF(AR107&lt;=Sheet2!$D$6,Sheet2!$B$6,IF(AR107&lt;=Sheet2!$D$7,Sheet2!$B$7,IF(AR107&lt;=Sheet2!$D$8,Sheet2!$B$8,IF(AR107&lt;=Sheet2!$D$9,Sheet2!$B$9,IF(AR107&lt;=Sheet2!$D$10,Sheet2!$B$10,IF(AR107&lt;=Sheet2!$D$11,Sheet2!$B$11,0))))))))))</f>
        <v>FXSQ25A</v>
      </c>
    </row>
    <row r="108" spans="1:54" ht="13.95" customHeight="1" thickBot="1" x14ac:dyDescent="0.35">
      <c r="A108" t="s">
        <v>284</v>
      </c>
      <c r="B108" s="3">
        <v>103</v>
      </c>
      <c r="C108" s="64" t="s">
        <v>337</v>
      </c>
      <c r="D108" s="13" t="s">
        <v>252</v>
      </c>
      <c r="E108" s="13" t="s">
        <v>278</v>
      </c>
      <c r="F108" s="26" t="s">
        <v>237</v>
      </c>
      <c r="G108" s="14">
        <f>4*6.1</f>
        <v>24.4</v>
      </c>
      <c r="H108" s="14">
        <f t="shared" si="82"/>
        <v>24.4</v>
      </c>
      <c r="I108" s="15">
        <v>18</v>
      </c>
      <c r="J108" s="41"/>
      <c r="K108" s="19">
        <f t="shared" si="111"/>
        <v>18</v>
      </c>
      <c r="L108" s="41">
        <v>0</v>
      </c>
      <c r="M108" s="17">
        <v>0</v>
      </c>
      <c r="N108" s="17">
        <f>VLOOKUP(A108,Data!A:B,2,FALSE)</f>
        <v>50</v>
      </c>
      <c r="O108" s="19">
        <f t="shared" ref="O108" si="127">L108</f>
        <v>0</v>
      </c>
      <c r="P108" s="16">
        <v>22</v>
      </c>
      <c r="Q108" s="14" t="s">
        <v>31</v>
      </c>
      <c r="R108" s="12">
        <f>VLOOKUP(A108,Data!A:D,4,FALSE)</f>
        <v>2.5</v>
      </c>
      <c r="S108" s="17">
        <f>VLOOKUP(A108,Data!A:C,3,FALSE)</f>
        <v>0.3</v>
      </c>
      <c r="T108" s="17"/>
      <c r="U108" s="17">
        <f t="shared" si="104"/>
        <v>52.32</v>
      </c>
      <c r="V108" s="29">
        <f t="shared" si="98"/>
        <v>55</v>
      </c>
      <c r="W108" s="91"/>
      <c r="X108" s="62"/>
      <c r="Y108" s="34"/>
      <c r="Z108" s="34">
        <f t="shared" si="119"/>
        <v>46.75</v>
      </c>
      <c r="AA108" s="31"/>
      <c r="AB108" s="92">
        <v>0</v>
      </c>
      <c r="AC108" s="132">
        <v>-45</v>
      </c>
      <c r="AD108" s="93" t="str">
        <f t="shared" si="77"/>
        <v>Positive</v>
      </c>
      <c r="AE108" s="107">
        <f t="shared" si="78"/>
        <v>0.49</v>
      </c>
      <c r="AF108" s="106" t="b">
        <f t="shared" si="79"/>
        <v>1</v>
      </c>
      <c r="AG108" s="16"/>
      <c r="AH108" s="17"/>
      <c r="AI108" s="18"/>
      <c r="AJ108" s="20"/>
      <c r="AK108" s="16">
        <f>VLOOKUP(A108,Data!A:F,6,FALSE)</f>
        <v>10</v>
      </c>
      <c r="AL108" s="18">
        <f t="shared" si="94"/>
        <v>0.24399999999999999</v>
      </c>
      <c r="AM108" s="140">
        <f t="shared" si="112"/>
        <v>0.24399999999999999</v>
      </c>
      <c r="AN108" s="27">
        <v>5.9</v>
      </c>
      <c r="AO108" s="27">
        <v>5.9</v>
      </c>
      <c r="AP108" s="153">
        <v>1</v>
      </c>
      <c r="AQ108" s="153">
        <f t="shared" si="73"/>
        <v>5.9</v>
      </c>
      <c r="AR108" s="161">
        <f>IF(AQ108&lt;[1]Sheet2!$D$2,[1]Sheet2!$D$2,IF(AQ108&lt;[1]Sheet2!$D$3,[1]Sheet2!$D$3,IF(AQ108&lt;[1]Sheet2!$D$4,[1]Sheet2!$D$4,IF(AQ108&lt;[1]Sheet2!$D$5,[1]Sheet2!$D$5,IF(AQ108&lt;[1]Sheet2!$D$6,[1]Sheet2!$D$6,IF(AQ108&lt;[1]Sheet2!$D$7,[1]Sheet2!$D$7,IF(AQ108&lt;[1]Sheet2!$D$8,[1]Sheet2!$D$8,IF(AQ108&lt;[1]Sheet2!$D$9,[1]Sheet2!$D$9,IF(AQ108&lt;[1]Sheet2!$D$10,[1]Sheet2!$D$10,IF(AQ108&lt;[1]Sheet2!$D$11,0))))))))))</f>
        <v>7.4</v>
      </c>
      <c r="AS108" s="2">
        <f>IF(AR108&lt;=Sheet2!$D$2,Sheet2!$C$2,IF(AR108&lt;=Sheet2!$D$3,Sheet2!$C$3,IF(AR108&lt;=Sheet2!$D$4,Sheet2!$C$4,IF(AR108&lt;=Sheet2!$D$5,Sheet2!$C$5,IF(AR108&lt;=Sheet2!$D$6,Sheet2!$C$6,IF(AR108&lt;=Sheet2!$D$7,Sheet2!$C$7,IF(AR108&lt;=Sheet2!$D$8,Sheet2!$C$8,IF(AR108&lt;=Sheet2!$D$9,Sheet2!$C$9,IF(AR108&lt;=Sheet2!$D$10,Sheet2!$C$10,IF(AR108&lt;=Sheet2!$D$11,Sheet2!$C$11,0))))))))))</f>
        <v>533</v>
      </c>
      <c r="AT108" s="2">
        <f t="shared" si="80"/>
        <v>478</v>
      </c>
      <c r="AU108" s="22"/>
      <c r="AV108" s="22"/>
      <c r="AW108" s="22"/>
      <c r="AX108" s="22"/>
      <c r="AY108" s="22">
        <f t="shared" si="122"/>
        <v>21.844262295081968</v>
      </c>
      <c r="AZ108" s="39">
        <f t="shared" si="81"/>
        <v>1031.1475409836066</v>
      </c>
      <c r="BA108" s="162" t="s">
        <v>376</v>
      </c>
      <c r="BB108" s="31" t="str">
        <f>IF(AR108&lt;=Sheet2!$D$2,Sheet2!$B$2,IF(AR108&lt;=Sheet2!$D$3,Sheet2!$B$3,IF(AR108&lt;=Sheet2!$D$4,Sheet2!$B$4,IF(AR108&lt;=Sheet2!$D$5,Sheet2!$B$5,IF(AR108&lt;=Sheet2!$D$6,Sheet2!$B$6,IF(AR108&lt;=Sheet2!$D$7,Sheet2!$B$7,IF(AR108&lt;=Sheet2!$D$8,Sheet2!$B$8,IF(AR108&lt;=Sheet2!$D$9,Sheet2!$B$9,IF(AR108&lt;=Sheet2!$D$10,Sheet2!$B$10,IF(AR108&lt;=Sheet2!$D$11,Sheet2!$B$11,0))))))))))</f>
        <v>FXSQ100A</v>
      </c>
    </row>
    <row r="109" spans="1:54" ht="15" thickBot="1" x14ac:dyDescent="0.35">
      <c r="A109" t="s">
        <v>9</v>
      </c>
      <c r="B109" s="3">
        <v>104</v>
      </c>
      <c r="C109" s="64" t="s">
        <v>337</v>
      </c>
      <c r="D109" s="27" t="s">
        <v>253</v>
      </c>
      <c r="E109" s="27" t="s">
        <v>279</v>
      </c>
      <c r="F109" s="28" t="s">
        <v>238</v>
      </c>
      <c r="G109" s="29">
        <v>20</v>
      </c>
      <c r="H109" s="29">
        <f t="shared" si="82"/>
        <v>20</v>
      </c>
      <c r="I109" s="30">
        <v>3</v>
      </c>
      <c r="J109" s="42"/>
      <c r="K109" s="31">
        <f t="shared" si="111"/>
        <v>3</v>
      </c>
      <c r="L109" s="42"/>
      <c r="M109" s="2"/>
      <c r="N109" s="2">
        <f>VLOOKUP(A109,Data!A:B,2,FALSE)</f>
        <v>5</v>
      </c>
      <c r="O109" s="31"/>
      <c r="P109" s="32">
        <v>22</v>
      </c>
      <c r="Q109" s="29" t="s">
        <v>31</v>
      </c>
      <c r="R109" s="33">
        <f>VLOOKUP(A109,Data!A:D,4,FALSE)</f>
        <v>2.5</v>
      </c>
      <c r="S109" s="2">
        <f>VLOOKUP(A109,Data!A:C,3,FALSE)</f>
        <v>0.3</v>
      </c>
      <c r="T109" s="2"/>
      <c r="U109" s="2">
        <f t="shared" si="104"/>
        <v>13.5</v>
      </c>
      <c r="V109" s="29">
        <f t="shared" si="98"/>
        <v>15</v>
      </c>
      <c r="W109" s="91"/>
      <c r="X109" s="62"/>
      <c r="Y109" s="34"/>
      <c r="Z109" s="34">
        <f t="shared" si="119"/>
        <v>12.75</v>
      </c>
      <c r="AA109" s="31"/>
      <c r="AB109" s="92">
        <v>0</v>
      </c>
      <c r="AC109" s="132">
        <v>-10</v>
      </c>
      <c r="AD109" s="93" t="str">
        <f t="shared" si="77"/>
        <v>Positive</v>
      </c>
      <c r="AE109" s="107">
        <f t="shared" si="78"/>
        <v>0.3</v>
      </c>
      <c r="AF109" s="106" t="b">
        <f t="shared" si="79"/>
        <v>1</v>
      </c>
      <c r="AG109" s="32"/>
      <c r="AH109" s="2"/>
      <c r="AI109" s="35"/>
      <c r="AJ109" s="36"/>
      <c r="AK109" s="32">
        <f>VLOOKUP(A109,Data!A:F,6,FALSE)</f>
        <v>10</v>
      </c>
      <c r="AL109" s="35">
        <f t="shared" si="94"/>
        <v>0.2</v>
      </c>
      <c r="AM109" s="141">
        <f t="shared" si="112"/>
        <v>0.2</v>
      </c>
      <c r="AN109" s="27">
        <v>1.7</v>
      </c>
      <c r="AO109" s="27">
        <v>1.7</v>
      </c>
      <c r="AP109" s="153">
        <v>1</v>
      </c>
      <c r="AQ109" s="153">
        <f t="shared" ref="AQ109:AQ115" si="128">AO109/AP109</f>
        <v>1.7</v>
      </c>
      <c r="AR109" s="161">
        <f>IF(AQ109&lt;[1]Sheet2!$D$2,[1]Sheet2!$D$2,IF(AQ109&lt;[1]Sheet2!$D$3,[1]Sheet2!$D$3,IF(AQ109&lt;[1]Sheet2!$D$4,[1]Sheet2!$D$4,IF(AQ109&lt;[1]Sheet2!$D$5,[1]Sheet2!$D$5,IF(AQ109&lt;[1]Sheet2!$D$6,[1]Sheet2!$D$6,IF(AQ109&lt;[1]Sheet2!$D$7,[1]Sheet2!$D$7,IF(AQ109&lt;[1]Sheet2!$D$8,[1]Sheet2!$D$8,IF(AQ109&lt;[1]Sheet2!$D$9,[1]Sheet2!$D$9,IF(AQ109&lt;[1]Sheet2!$D$10,[1]Sheet2!$D$10,IF(AQ109&lt;[1]Sheet2!$D$11,0))))))))))</f>
        <v>1.8</v>
      </c>
      <c r="AS109" s="2">
        <f>IF(AR109&lt;=Sheet2!$D$2,Sheet2!$C$2,IF(AR109&lt;=Sheet2!$D$3,Sheet2!$C$3,IF(AR109&lt;=Sheet2!$D$4,Sheet2!$C$4,IF(AR109&lt;=Sheet2!$D$5,Sheet2!$C$5,IF(AR109&lt;=Sheet2!$D$6,Sheet2!$C$6,IF(AR109&lt;=Sheet2!$D$7,Sheet2!$C$7,IF(AR109&lt;=Sheet2!$D$8,Sheet2!$C$8,IF(AR109&lt;=Sheet2!$D$9,Sheet2!$C$9,IF(AR109&lt;=Sheet2!$D$10,Sheet2!$C$10,IF(AR109&lt;=Sheet2!$D$11,Sheet2!$C$11,0))))))))))</f>
        <v>150</v>
      </c>
      <c r="AT109" s="2">
        <f t="shared" si="80"/>
        <v>135</v>
      </c>
      <c r="AU109" s="38"/>
      <c r="AV109" s="38"/>
      <c r="AW109" s="38"/>
      <c r="AX109" s="38"/>
      <c r="AY109" s="38">
        <f t="shared" si="122"/>
        <v>7.5</v>
      </c>
      <c r="AZ109" s="39">
        <f t="shared" si="81"/>
        <v>306</v>
      </c>
      <c r="BA109" s="161" t="s">
        <v>376</v>
      </c>
      <c r="BB109" s="31" t="str">
        <f>IF(AR109&lt;=Sheet2!$D$2,Sheet2!$B$2,IF(AR109&lt;=Sheet2!$D$3,Sheet2!$B$3,IF(AR109&lt;=Sheet2!$D$4,Sheet2!$B$4,IF(AR109&lt;=Sheet2!$D$5,Sheet2!$B$5,IF(AR109&lt;=Sheet2!$D$6,Sheet2!$B$6,IF(AR109&lt;=Sheet2!$D$7,Sheet2!$B$7,IF(AR109&lt;=Sheet2!$D$8,Sheet2!$B$8,IF(AR109&lt;=Sheet2!$D$9,Sheet2!$B$9,IF(AR109&lt;=Sheet2!$D$10,Sheet2!$B$10,IF(AR109&lt;=Sheet2!$D$11,Sheet2!$B$11,0))))))))))</f>
        <v>FXSQ25A</v>
      </c>
    </row>
    <row r="110" spans="1:54" ht="13.95" customHeight="1" thickBot="1" x14ac:dyDescent="0.35">
      <c r="A110" t="s">
        <v>9</v>
      </c>
      <c r="B110" s="3">
        <v>105</v>
      </c>
      <c r="C110" s="64" t="s">
        <v>336</v>
      </c>
      <c r="D110" s="13" t="s">
        <v>254</v>
      </c>
      <c r="E110" s="13" t="s">
        <v>280</v>
      </c>
      <c r="F110" s="26" t="s">
        <v>239</v>
      </c>
      <c r="G110" s="14">
        <v>20</v>
      </c>
      <c r="H110" s="14">
        <f t="shared" si="82"/>
        <v>20</v>
      </c>
      <c r="I110" s="15">
        <v>3</v>
      </c>
      <c r="J110" s="41"/>
      <c r="K110" s="19">
        <f t="shared" si="111"/>
        <v>3</v>
      </c>
      <c r="L110" s="41">
        <v>0</v>
      </c>
      <c r="M110" s="17">
        <v>0</v>
      </c>
      <c r="N110" s="17">
        <f>VLOOKUP(A110,Data!A:B,2,FALSE)</f>
        <v>5</v>
      </c>
      <c r="O110" s="19">
        <f t="shared" ref="O110" si="129">L110</f>
        <v>0</v>
      </c>
      <c r="P110" s="16">
        <v>22</v>
      </c>
      <c r="Q110" s="14" t="s">
        <v>31</v>
      </c>
      <c r="R110" s="12">
        <f>VLOOKUP(A110,Data!A:D,4,FALSE)</f>
        <v>2.5</v>
      </c>
      <c r="S110" s="17">
        <f>VLOOKUP(A110,Data!A:C,3,FALSE)</f>
        <v>0.3</v>
      </c>
      <c r="T110" s="17"/>
      <c r="U110" s="17">
        <f t="shared" si="104"/>
        <v>13.5</v>
      </c>
      <c r="V110" s="29">
        <f t="shared" si="98"/>
        <v>15</v>
      </c>
      <c r="W110" s="91"/>
      <c r="X110" s="62"/>
      <c r="Y110" s="34"/>
      <c r="Z110" s="34">
        <f t="shared" si="119"/>
        <v>12.75</v>
      </c>
      <c r="AA110" s="31">
        <v>0</v>
      </c>
      <c r="AB110" s="92">
        <v>0</v>
      </c>
      <c r="AC110" s="133">
        <v>-10</v>
      </c>
      <c r="AD110" s="93" t="str">
        <f t="shared" si="77"/>
        <v>Positive</v>
      </c>
      <c r="AE110" s="107">
        <f t="shared" si="78"/>
        <v>0.3</v>
      </c>
      <c r="AF110" s="106" t="b">
        <f t="shared" si="79"/>
        <v>1</v>
      </c>
      <c r="AG110" s="16"/>
      <c r="AH110" s="17"/>
      <c r="AI110" s="18"/>
      <c r="AJ110" s="20"/>
      <c r="AK110" s="16">
        <f>VLOOKUP(A110,Data!A:F,6,FALSE)</f>
        <v>10</v>
      </c>
      <c r="AL110" s="18">
        <f t="shared" si="94"/>
        <v>0.2</v>
      </c>
      <c r="AM110" s="140">
        <f t="shared" si="112"/>
        <v>0.2</v>
      </c>
      <c r="AN110" s="27">
        <v>3.1</v>
      </c>
      <c r="AO110" s="27">
        <v>3.1</v>
      </c>
      <c r="AP110" s="151">
        <v>1</v>
      </c>
      <c r="AQ110" s="157">
        <f t="shared" si="128"/>
        <v>3.1</v>
      </c>
      <c r="AR110" s="162">
        <v>3.1</v>
      </c>
      <c r="AS110" s="16">
        <f>IF(AR110&lt;=Sheet2!$D$2,Sheet2!$C$2,IF(AR110&lt;=Sheet2!$D$3,Sheet2!$C$3,IF(AR110&lt;=Sheet2!$D$4,Sheet2!$C$4,IF(AR110&lt;=Sheet2!$D$5,Sheet2!$C$5,IF(AR110&lt;=Sheet2!$D$6,Sheet2!$C$6,IF(AR110&lt;=Sheet2!$D$7,Sheet2!$C$7,IF(AR110&lt;=Sheet2!$D$8,Sheet2!$C$8,IF(AR110&lt;=Sheet2!$D$9,Sheet2!$C$9,IF(AR110&lt;=Sheet2!$D$10,Sheet2!$C$10,IF(AR110&lt;=Sheet2!$D$11,Sheet2!$C$11,0))))))))))</f>
        <v>253</v>
      </c>
      <c r="AT110" s="2">
        <f t="shared" si="80"/>
        <v>238</v>
      </c>
      <c r="AU110" s="22"/>
      <c r="AV110" s="22"/>
      <c r="AW110" s="22"/>
      <c r="AX110" s="22"/>
      <c r="AY110" s="22">
        <f t="shared" si="122"/>
        <v>12.65</v>
      </c>
      <c r="AZ110" s="39">
        <f t="shared" si="81"/>
        <v>527</v>
      </c>
      <c r="BA110" s="162" t="s">
        <v>376</v>
      </c>
      <c r="BB110" s="31" t="str">
        <f>IF(AR110&lt;=Sheet2!$D$2,Sheet2!$B$2,IF(AR110&lt;=Sheet2!$D$3,Sheet2!$B$3,IF(AR110&lt;=Sheet2!$D$4,Sheet2!$B$4,IF(AR110&lt;=Sheet2!$D$5,Sheet2!$B$5,IF(AR110&lt;=Sheet2!$D$6,Sheet2!$B$6,IF(AR110&lt;=Sheet2!$D$7,Sheet2!$B$7,IF(AR110&lt;=Sheet2!$D$8,Sheet2!$B$8,IF(AR110&lt;=Sheet2!$D$9,Sheet2!$B$9,IF(AR110&lt;=Sheet2!$D$10,Sheet2!$B$10,IF(AR110&lt;=Sheet2!$D$11,Sheet2!$B$11,0))))))))))</f>
        <v>FXSQ50A</v>
      </c>
    </row>
    <row r="111" spans="1:54" ht="15" thickBot="1" x14ac:dyDescent="0.35">
      <c r="A111" t="s">
        <v>9</v>
      </c>
      <c r="B111" s="3">
        <v>106</v>
      </c>
      <c r="C111" s="64" t="s">
        <v>336</v>
      </c>
      <c r="D111" s="27" t="s">
        <v>255</v>
      </c>
      <c r="E111" s="27" t="s">
        <v>281</v>
      </c>
      <c r="F111" s="28" t="s">
        <v>240</v>
      </c>
      <c r="G111" s="29">
        <v>20</v>
      </c>
      <c r="H111" s="29">
        <f t="shared" si="82"/>
        <v>20</v>
      </c>
      <c r="I111" s="30">
        <v>3</v>
      </c>
      <c r="J111" s="42"/>
      <c r="K111" s="31">
        <f t="shared" si="111"/>
        <v>3</v>
      </c>
      <c r="L111" s="42"/>
      <c r="M111" s="2"/>
      <c r="N111" s="2">
        <f>VLOOKUP(A111,Data!A:B,2,FALSE)</f>
        <v>5</v>
      </c>
      <c r="O111" s="31"/>
      <c r="P111" s="32">
        <v>22</v>
      </c>
      <c r="Q111" s="29" t="s">
        <v>31</v>
      </c>
      <c r="R111" s="33">
        <f>VLOOKUP(A111,Data!A:D,4,FALSE)</f>
        <v>2.5</v>
      </c>
      <c r="S111" s="2">
        <f>VLOOKUP(A111,Data!A:C,3,FALSE)</f>
        <v>0.3</v>
      </c>
      <c r="T111" s="2"/>
      <c r="U111" s="2">
        <f t="shared" si="104"/>
        <v>13.5</v>
      </c>
      <c r="V111" s="29">
        <f t="shared" si="98"/>
        <v>15</v>
      </c>
      <c r="W111" s="91"/>
      <c r="X111" s="62"/>
      <c r="Y111" s="34"/>
      <c r="Z111" s="34">
        <f t="shared" si="119"/>
        <v>12.75</v>
      </c>
      <c r="AA111" s="31">
        <v>0</v>
      </c>
      <c r="AB111" s="92">
        <v>0</v>
      </c>
      <c r="AC111" s="133">
        <v>-10</v>
      </c>
      <c r="AD111" s="93" t="str">
        <f t="shared" si="77"/>
        <v>Positive</v>
      </c>
      <c r="AE111" s="107">
        <f t="shared" si="78"/>
        <v>0.3</v>
      </c>
      <c r="AF111" s="106" t="b">
        <f t="shared" si="79"/>
        <v>1</v>
      </c>
      <c r="AG111" s="32"/>
      <c r="AH111" s="2"/>
      <c r="AI111" s="35"/>
      <c r="AJ111" s="36"/>
      <c r="AK111" s="32">
        <f>VLOOKUP(A111,Data!A:F,6,FALSE)</f>
        <v>10</v>
      </c>
      <c r="AL111" s="35">
        <f t="shared" si="94"/>
        <v>0.2</v>
      </c>
      <c r="AM111" s="141">
        <f t="shared" si="112"/>
        <v>0.2</v>
      </c>
      <c r="AN111" s="27">
        <v>3.1</v>
      </c>
      <c r="AO111" s="27">
        <v>3.1</v>
      </c>
      <c r="AP111" s="152">
        <v>1</v>
      </c>
      <c r="AQ111" s="158">
        <f t="shared" si="128"/>
        <v>3.1</v>
      </c>
      <c r="AR111" s="161">
        <v>3.1</v>
      </c>
      <c r="AS111" s="32">
        <f>IF(AR111&lt;=Sheet2!$D$2,Sheet2!$C$2,IF(AR111&lt;=Sheet2!$D$3,Sheet2!$C$3,IF(AR111&lt;=Sheet2!$D$4,Sheet2!$C$4,IF(AR111&lt;=Sheet2!$D$5,Sheet2!$C$5,IF(AR111&lt;=Sheet2!$D$6,Sheet2!$C$6,IF(AR111&lt;=Sheet2!$D$7,Sheet2!$C$7,IF(AR111&lt;=Sheet2!$D$8,Sheet2!$C$8,IF(AR111&lt;=Sheet2!$D$9,Sheet2!$C$9,IF(AR111&lt;=Sheet2!$D$10,Sheet2!$C$10,IF(AR111&lt;=Sheet2!$D$11,Sheet2!$C$11,0))))))))))</f>
        <v>253</v>
      </c>
      <c r="AT111" s="2">
        <f t="shared" si="80"/>
        <v>238</v>
      </c>
      <c r="AU111" s="38"/>
      <c r="AV111" s="38"/>
      <c r="AW111" s="38"/>
      <c r="AX111" s="38"/>
      <c r="AY111" s="38">
        <f t="shared" si="122"/>
        <v>12.65</v>
      </c>
      <c r="AZ111" s="39">
        <f t="shared" si="81"/>
        <v>527</v>
      </c>
      <c r="BA111" s="161" t="s">
        <v>376</v>
      </c>
      <c r="BB111" s="31" t="str">
        <f>IF(AR111&lt;=Sheet2!$D$2,Sheet2!$B$2,IF(AR111&lt;=Sheet2!$D$3,Sheet2!$B$3,IF(AR111&lt;=Sheet2!$D$4,Sheet2!$B$4,IF(AR111&lt;=Sheet2!$D$5,Sheet2!$B$5,IF(AR111&lt;=Sheet2!$D$6,Sheet2!$B$6,IF(AR111&lt;=Sheet2!$D$7,Sheet2!$B$7,IF(AR111&lt;=Sheet2!$D$8,Sheet2!$B$8,IF(AR111&lt;=Sheet2!$D$9,Sheet2!$B$9,IF(AR111&lt;=Sheet2!$D$10,Sheet2!$B$10,IF(AR111&lt;=Sheet2!$D$11,Sheet2!$B$11,0))))))))))</f>
        <v>FXSQ50A</v>
      </c>
    </row>
    <row r="112" spans="1:54" ht="13.95" customHeight="1" thickBot="1" x14ac:dyDescent="0.35">
      <c r="A112" t="s">
        <v>285</v>
      </c>
      <c r="B112" s="3">
        <v>107</v>
      </c>
      <c r="C112" s="64" t="s">
        <v>334</v>
      </c>
      <c r="D112" s="13" t="s">
        <v>256</v>
      </c>
      <c r="E112" s="13" t="s">
        <v>282</v>
      </c>
      <c r="F112" s="26" t="s">
        <v>241</v>
      </c>
      <c r="G112" s="14">
        <f>5*8.2</f>
        <v>41</v>
      </c>
      <c r="H112" s="14">
        <f t="shared" si="82"/>
        <v>41</v>
      </c>
      <c r="I112" s="15">
        <v>3</v>
      </c>
      <c r="J112" s="41"/>
      <c r="K112" s="19">
        <f t="shared" si="111"/>
        <v>3</v>
      </c>
      <c r="L112" s="41">
        <v>0</v>
      </c>
      <c r="M112" s="17">
        <v>0</v>
      </c>
      <c r="N112" s="17">
        <f>VLOOKUP(A112,Data!A:B,2,FALSE)</f>
        <v>10</v>
      </c>
      <c r="O112" s="19">
        <f t="shared" ref="O112" si="130">L112</f>
        <v>0</v>
      </c>
      <c r="P112" s="16">
        <v>22</v>
      </c>
      <c r="Q112" s="14" t="s">
        <v>31</v>
      </c>
      <c r="R112" s="12">
        <f>VLOOKUP(A112,Data!A:D,4,FALSE)</f>
        <v>2.5</v>
      </c>
      <c r="S112" s="17">
        <f>VLOOKUP(A112,Data!A:C,3,FALSE)</f>
        <v>0.3</v>
      </c>
      <c r="T112" s="17"/>
      <c r="U112" s="17">
        <f t="shared" si="104"/>
        <v>19.799999999999997</v>
      </c>
      <c r="V112" s="29">
        <v>25</v>
      </c>
      <c r="W112" s="91"/>
      <c r="X112" s="62"/>
      <c r="Y112" s="34"/>
      <c r="Z112" s="34">
        <f>0.85*V112</f>
        <v>21.25</v>
      </c>
      <c r="AA112" s="31"/>
      <c r="AB112" s="92">
        <v>0</v>
      </c>
      <c r="AC112" s="132"/>
      <c r="AD112" s="93" t="str">
        <f t="shared" si="77"/>
        <v>Positive</v>
      </c>
      <c r="AE112" s="107">
        <f>ROUND(ABS((V112+AB112+W112+AC112)*3.6)/(G112*3),2)</f>
        <v>0.73</v>
      </c>
      <c r="AF112" s="106" t="b">
        <f t="shared" si="79"/>
        <v>1</v>
      </c>
      <c r="AG112" s="16"/>
      <c r="AH112" s="17"/>
      <c r="AI112" s="18"/>
      <c r="AJ112" s="20"/>
      <c r="AK112" s="16">
        <f>VLOOKUP(A112,Data!A:F,6,FALSE)</f>
        <v>10</v>
      </c>
      <c r="AL112" s="18">
        <f t="shared" si="94"/>
        <v>0.41</v>
      </c>
      <c r="AM112" s="140">
        <f t="shared" si="112"/>
        <v>0.41</v>
      </c>
      <c r="AN112" s="27">
        <v>5.3</v>
      </c>
      <c r="AO112" s="27">
        <v>5.2</v>
      </c>
      <c r="AP112" s="151">
        <v>1</v>
      </c>
      <c r="AQ112" s="157">
        <f t="shared" si="128"/>
        <v>5.2</v>
      </c>
      <c r="AR112" s="162">
        <v>5.2</v>
      </c>
      <c r="AS112" s="16">
        <f>IF(AR112&lt;=Sheet2!$D$2,Sheet2!$C$2,IF(AR112&lt;=Sheet2!$D$3,Sheet2!$C$3,IF(AR112&lt;=Sheet2!$D$4,Sheet2!$C$4,IF(AR112&lt;=Sheet2!$D$5,Sheet2!$C$5,IF(AR112&lt;=Sheet2!$D$6,Sheet2!$C$6,IF(AR112&lt;=Sheet2!$D$7,Sheet2!$C$7,IF(AR112&lt;=Sheet2!$D$8,Sheet2!$C$8,IF(AR112&lt;=Sheet2!$D$9,Sheet2!$C$9,IF(AR112&lt;=Sheet2!$D$10,Sheet2!$C$10,IF(AR112&lt;=Sheet2!$D$11,Sheet2!$C$11,0))))))))))</f>
        <v>383</v>
      </c>
      <c r="AT112" s="2">
        <f t="shared" si="80"/>
        <v>358</v>
      </c>
      <c r="AU112" s="22"/>
      <c r="AV112" s="22"/>
      <c r="AW112" s="22"/>
      <c r="AX112" s="22"/>
      <c r="AY112" s="22">
        <f t="shared" si="122"/>
        <v>9.3414634146341466</v>
      </c>
      <c r="AZ112" s="39">
        <f t="shared" si="81"/>
        <v>431.21951219512192</v>
      </c>
      <c r="BA112" s="162" t="s">
        <v>376</v>
      </c>
      <c r="BB112" s="31" t="str">
        <f>IF(AR112&lt;=Sheet2!$D$2,Sheet2!$B$2,IF(AR112&lt;=Sheet2!$D$3,Sheet2!$B$3,IF(AR112&lt;=Sheet2!$D$4,Sheet2!$B$4,IF(AR112&lt;=Sheet2!$D$5,Sheet2!$B$5,IF(AR112&lt;=Sheet2!$D$6,Sheet2!$B$6,IF(AR112&lt;=Sheet2!$D$7,Sheet2!$B$7,IF(AR112&lt;=Sheet2!$D$8,Sheet2!$B$8,IF(AR112&lt;=Sheet2!$D$9,Sheet2!$B$9,IF(AR112&lt;=Sheet2!$D$10,Sheet2!$B$10,IF(AR112&lt;=Sheet2!$D$11,Sheet2!$B$11,0))))))))))</f>
        <v>FXSQ80A</v>
      </c>
    </row>
    <row r="113" spans="1:54" ht="15" thickBot="1" x14ac:dyDescent="0.35">
      <c r="A113" t="s">
        <v>9</v>
      </c>
      <c r="B113" s="3">
        <v>108</v>
      </c>
      <c r="C113" s="64" t="s">
        <v>334</v>
      </c>
      <c r="D113" s="27" t="s">
        <v>257</v>
      </c>
      <c r="E113" s="27" t="s">
        <v>283</v>
      </c>
      <c r="F113" s="28" t="s">
        <v>229</v>
      </c>
      <c r="G113" s="29">
        <f>3.53*5</f>
        <v>17.649999999999999</v>
      </c>
      <c r="H113" s="29">
        <f t="shared" si="82"/>
        <v>17.649999999999999</v>
      </c>
      <c r="I113" s="30">
        <v>3</v>
      </c>
      <c r="J113" s="42"/>
      <c r="K113" s="31">
        <f t="shared" si="111"/>
        <v>3</v>
      </c>
      <c r="L113" s="42"/>
      <c r="M113" s="2"/>
      <c r="N113" s="2">
        <f>VLOOKUP(A113,Data!A:B,2,FALSE)</f>
        <v>5</v>
      </c>
      <c r="O113" s="31"/>
      <c r="P113" s="32">
        <v>22</v>
      </c>
      <c r="Q113" s="29" t="s">
        <v>31</v>
      </c>
      <c r="R113" s="33">
        <f>VLOOKUP(A113,Data!A:D,4,FALSE)</f>
        <v>2.5</v>
      </c>
      <c r="S113" s="2">
        <f>VLOOKUP(A113,Data!A:C,3,FALSE)</f>
        <v>0.3</v>
      </c>
      <c r="T113" s="2"/>
      <c r="U113" s="2">
        <f t="shared" si="104"/>
        <v>12.794999999999998</v>
      </c>
      <c r="V113" s="29">
        <v>20</v>
      </c>
      <c r="W113" s="91">
        <v>-10</v>
      </c>
      <c r="X113" s="62"/>
      <c r="Y113" s="34"/>
      <c r="Z113" s="34">
        <f t="shared" si="119"/>
        <v>17</v>
      </c>
      <c r="AA113" s="31"/>
      <c r="AB113" s="92">
        <v>0</v>
      </c>
      <c r="AC113" s="132"/>
      <c r="AD113" s="93" t="str">
        <f t="shared" si="77"/>
        <v>Positive</v>
      </c>
      <c r="AE113" s="107">
        <f t="shared" si="78"/>
        <v>0.68</v>
      </c>
      <c r="AF113" s="106" t="b">
        <f t="shared" si="79"/>
        <v>1</v>
      </c>
      <c r="AG113" s="32"/>
      <c r="AH113" s="2"/>
      <c r="AI113" s="35"/>
      <c r="AJ113" s="36"/>
      <c r="AK113" s="32">
        <f>VLOOKUP(A113,Data!A:F,6,FALSE)</f>
        <v>10</v>
      </c>
      <c r="AL113" s="35">
        <f t="shared" si="94"/>
        <v>0.17649999999999999</v>
      </c>
      <c r="AM113" s="141">
        <f t="shared" si="112"/>
        <v>0.17649999999999999</v>
      </c>
      <c r="AN113" s="27">
        <v>2.9</v>
      </c>
      <c r="AO113" s="27">
        <v>2.9</v>
      </c>
      <c r="AP113" s="152">
        <v>1</v>
      </c>
      <c r="AQ113" s="158">
        <f t="shared" si="128"/>
        <v>2.9</v>
      </c>
      <c r="AR113" s="161">
        <v>2.9</v>
      </c>
      <c r="AS113" s="32">
        <f>IF(AR113&lt;=Sheet2!$D$2,Sheet2!$C$2,IF(AR113&lt;=Sheet2!$D$3,Sheet2!$C$3,IF(AR113&lt;=Sheet2!$D$4,Sheet2!$C$4,IF(AR113&lt;=Sheet2!$D$5,Sheet2!$C$5,IF(AR113&lt;=Sheet2!$D$6,Sheet2!$C$6,IF(AR113&lt;=Sheet2!$D$7,Sheet2!$C$7,IF(AR113&lt;=Sheet2!$D$8,Sheet2!$C$8,IF(AR113&lt;=Sheet2!$D$9,Sheet2!$C$9,IF(AR113&lt;=Sheet2!$D$10,Sheet2!$C$10,IF(AR113&lt;=Sheet2!$D$11,Sheet2!$C$11,0))))))))))</f>
        <v>250</v>
      </c>
      <c r="AT113" s="2">
        <f t="shared" si="80"/>
        <v>230</v>
      </c>
      <c r="AU113" s="38"/>
      <c r="AV113" s="38"/>
      <c r="AW113" s="38"/>
      <c r="AX113" s="38"/>
      <c r="AY113" s="38">
        <f t="shared" si="122"/>
        <v>14.164305949008499</v>
      </c>
      <c r="AZ113" s="39">
        <f t="shared" si="81"/>
        <v>558.64022662889522</v>
      </c>
      <c r="BA113" s="161" t="s">
        <v>376</v>
      </c>
      <c r="BB113" s="31" t="str">
        <f>IF(AR113&lt;=Sheet2!$D$2,Sheet2!$B$2,IF(AR113&lt;=Sheet2!$D$3,Sheet2!$B$3,IF(AR113&lt;=Sheet2!$D$4,Sheet2!$B$4,IF(AR113&lt;=Sheet2!$D$5,Sheet2!$B$5,IF(AR113&lt;=Sheet2!$D$6,Sheet2!$B$6,IF(AR113&lt;=Sheet2!$D$7,Sheet2!$B$7,IF(AR113&lt;=Sheet2!$D$8,Sheet2!$B$8,IF(AR113&lt;=Sheet2!$D$9,Sheet2!$B$9,IF(AR113&lt;=Sheet2!$D$10,Sheet2!$B$10,IF(AR113&lt;=Sheet2!$D$11,Sheet2!$B$11,0))))))))))</f>
        <v>FXSQ40A</v>
      </c>
    </row>
    <row r="114" spans="1:54" ht="13.95" customHeight="1" thickBot="1" x14ac:dyDescent="0.35">
      <c r="A114" t="s">
        <v>286</v>
      </c>
      <c r="B114" s="3">
        <v>109</v>
      </c>
      <c r="C114" s="64" t="s">
        <v>334</v>
      </c>
      <c r="D114" s="13" t="s">
        <v>258</v>
      </c>
      <c r="E114" s="13" t="s">
        <v>271</v>
      </c>
      <c r="F114" s="26" t="s">
        <v>228</v>
      </c>
      <c r="G114" s="14">
        <f>5*6.07</f>
        <v>30.35</v>
      </c>
      <c r="H114" s="14">
        <f t="shared" si="82"/>
        <v>30.35</v>
      </c>
      <c r="I114" s="15">
        <v>4</v>
      </c>
      <c r="J114" s="41"/>
      <c r="K114" s="19">
        <f t="shared" si="111"/>
        <v>4</v>
      </c>
      <c r="L114" s="41">
        <v>0</v>
      </c>
      <c r="M114" s="17">
        <v>0</v>
      </c>
      <c r="N114" s="17">
        <f>VLOOKUP(A114,Data!A:B,2,FALSE)</f>
        <v>0</v>
      </c>
      <c r="O114" s="19">
        <f t="shared" ref="O114" si="131">L114</f>
        <v>0</v>
      </c>
      <c r="P114" s="16">
        <v>22</v>
      </c>
      <c r="Q114" s="14" t="s">
        <v>31</v>
      </c>
      <c r="R114" s="12">
        <f>VLOOKUP(A114,Data!A:D,4,FALSE)</f>
        <v>0</v>
      </c>
      <c r="S114" s="17">
        <f>VLOOKUP(A114,Data!A:C,3,FALSE)</f>
        <v>0</v>
      </c>
      <c r="T114" s="17"/>
      <c r="U114" s="17"/>
      <c r="V114" s="29"/>
      <c r="W114" s="91">
        <v>80</v>
      </c>
      <c r="X114" s="62">
        <v>25</v>
      </c>
      <c r="Y114" s="34">
        <v>5</v>
      </c>
      <c r="Z114" s="34">
        <v>100</v>
      </c>
      <c r="AA114" s="31">
        <f t="shared" ref="AA114" si="132">CEILING(Z114,1)</f>
        <v>100</v>
      </c>
      <c r="AB114" s="92">
        <f>(CEILING(AA114,1))*-1</f>
        <v>-100</v>
      </c>
      <c r="AC114" s="132"/>
      <c r="AD114" s="93" t="str">
        <f t="shared" si="77"/>
        <v>Negative</v>
      </c>
      <c r="AE114" s="107">
        <f t="shared" si="78"/>
        <v>0.79</v>
      </c>
      <c r="AF114" s="106" t="b">
        <f t="shared" si="79"/>
        <v>1</v>
      </c>
      <c r="AG114" s="16"/>
      <c r="AH114" s="17"/>
      <c r="AI114" s="18"/>
      <c r="AJ114" s="20"/>
      <c r="AK114" s="16">
        <f>VLOOKUP(A114,Data!A:F,6,FALSE)</f>
        <v>10</v>
      </c>
      <c r="AL114" s="18">
        <f t="shared" si="94"/>
        <v>0.30349999999999999</v>
      </c>
      <c r="AM114" s="140">
        <f t="shared" si="112"/>
        <v>0.30349999999999999</v>
      </c>
      <c r="AN114" s="27">
        <v>4.5</v>
      </c>
      <c r="AO114" s="27">
        <v>4</v>
      </c>
      <c r="AP114" s="151">
        <v>1</v>
      </c>
      <c r="AQ114" s="157">
        <f t="shared" si="128"/>
        <v>4</v>
      </c>
      <c r="AR114" s="162">
        <v>4</v>
      </c>
      <c r="AS114" s="16">
        <f>IF(AR114&lt;=Sheet2!$D$2,Sheet2!$C$2,IF(AR114&lt;=Sheet2!$D$3,Sheet2!$C$3,IF(AR114&lt;=Sheet2!$D$4,Sheet2!$C$4,IF(AR114&lt;=Sheet2!$D$5,Sheet2!$C$5,IF(AR114&lt;=Sheet2!$D$6,Sheet2!$C$6,IF(AR114&lt;=Sheet2!$D$7,Sheet2!$C$7,IF(AR114&lt;=Sheet2!$D$8,Sheet2!$C$8,IF(AR114&lt;=Sheet2!$D$9,Sheet2!$C$9,IF(AR114&lt;=Sheet2!$D$10,Sheet2!$C$10,IF(AR114&lt;=Sheet2!$D$11,Sheet2!$C$11,0))))))))))</f>
        <v>350</v>
      </c>
      <c r="AT114" s="2">
        <f t="shared" si="80"/>
        <v>350</v>
      </c>
      <c r="AU114" s="22"/>
      <c r="AV114" s="22"/>
      <c r="AW114" s="22"/>
      <c r="AX114" s="22"/>
      <c r="AY114" s="22">
        <f t="shared" si="122"/>
        <v>11.532125205930807</v>
      </c>
      <c r="AZ114" s="39">
        <f t="shared" si="81"/>
        <v>448.10543657331135</v>
      </c>
      <c r="BA114" s="162" t="s">
        <v>376</v>
      </c>
      <c r="BB114" s="31" t="str">
        <f>IF(AR114&lt;=Sheet2!$D$2,Sheet2!$B$2,IF(AR114&lt;=Sheet2!$D$3,Sheet2!$B$3,IF(AR114&lt;=Sheet2!$D$4,Sheet2!$B$4,IF(AR114&lt;=Sheet2!$D$5,Sheet2!$B$5,IF(AR114&lt;=Sheet2!$D$6,Sheet2!$B$6,IF(AR114&lt;=Sheet2!$D$7,Sheet2!$B$7,IF(AR114&lt;=Sheet2!$D$8,Sheet2!$B$8,IF(AR114&lt;=Sheet2!$D$9,Sheet2!$B$9,IF(AR114&lt;=Sheet2!$D$10,Sheet2!$B$10,IF(AR114&lt;=Sheet2!$D$11,Sheet2!$B$11,0))))))))))</f>
        <v>FXSQ63A</v>
      </c>
    </row>
    <row r="115" spans="1:54" ht="15" thickBot="1" x14ac:dyDescent="0.35">
      <c r="A115" t="s">
        <v>109</v>
      </c>
      <c r="B115" s="108">
        <v>110</v>
      </c>
      <c r="C115" s="109" t="s">
        <v>334</v>
      </c>
      <c r="D115" s="110" t="s">
        <v>259</v>
      </c>
      <c r="E115" s="110" t="s">
        <v>109</v>
      </c>
      <c r="F115" s="111" t="s">
        <v>227</v>
      </c>
      <c r="G115" s="112">
        <f>2.5*3.2</f>
        <v>8</v>
      </c>
      <c r="H115" s="112">
        <f t="shared" si="82"/>
        <v>8</v>
      </c>
      <c r="I115" s="113">
        <v>0</v>
      </c>
      <c r="J115" s="114"/>
      <c r="K115" s="115">
        <f t="shared" si="111"/>
        <v>0</v>
      </c>
      <c r="L115" s="114"/>
      <c r="M115" s="116"/>
      <c r="N115" s="116">
        <f>VLOOKUP(A115,Data!A:B,2,FALSE)</f>
        <v>2</v>
      </c>
      <c r="O115" s="115"/>
      <c r="P115" s="117">
        <v>22</v>
      </c>
      <c r="Q115" s="112" t="s">
        <v>31</v>
      </c>
      <c r="R115" s="118">
        <f>VLOOKUP(A115,Data!A:D,4,FALSE)</f>
        <v>0</v>
      </c>
      <c r="S115" s="116">
        <f>VLOOKUP(A115,Data!A:C,3,FALSE)</f>
        <v>0</v>
      </c>
      <c r="T115" s="116"/>
      <c r="U115" s="116">
        <f t="shared" si="104"/>
        <v>0</v>
      </c>
      <c r="V115" s="112"/>
      <c r="W115" s="123">
        <v>20</v>
      </c>
      <c r="X115" s="129"/>
      <c r="Y115" s="130"/>
      <c r="Z115" s="130"/>
      <c r="AA115" s="131">
        <v>25</v>
      </c>
      <c r="AB115" s="123">
        <v>-25</v>
      </c>
      <c r="AC115" s="132"/>
      <c r="AD115" s="93" t="str">
        <f t="shared" si="77"/>
        <v>Negative</v>
      </c>
      <c r="AE115" s="107">
        <f t="shared" si="78"/>
        <v>0.75</v>
      </c>
      <c r="AF115" s="106" t="b">
        <f t="shared" si="79"/>
        <v>1</v>
      </c>
      <c r="AG115" s="117"/>
      <c r="AH115" s="116"/>
      <c r="AI115" s="119"/>
      <c r="AJ115" s="120"/>
      <c r="AK115" s="117">
        <f>VLOOKUP(A115,Data!A:F,6,FALSE)</f>
        <v>10</v>
      </c>
      <c r="AL115" s="119">
        <f t="shared" si="94"/>
        <v>0.08</v>
      </c>
      <c r="AM115" s="160">
        <f t="shared" si="112"/>
        <v>0.08</v>
      </c>
      <c r="AN115" s="27">
        <v>2.6</v>
      </c>
      <c r="AO115" s="27">
        <v>2.5</v>
      </c>
      <c r="AP115" s="152">
        <v>1</v>
      </c>
      <c r="AQ115" s="158">
        <f t="shared" si="128"/>
        <v>2.5</v>
      </c>
      <c r="AR115" s="161">
        <v>2.5</v>
      </c>
      <c r="AS115" s="117">
        <f>IF(AR115&lt;=Sheet2!$D$2,Sheet2!$C$2,IF(AR115&lt;=Sheet2!$D$3,Sheet2!$C$3,IF(AR115&lt;=Sheet2!$D$4,Sheet2!$C$4,IF(AR115&lt;=Sheet2!$D$5,Sheet2!$C$5,IF(AR115&lt;=Sheet2!$D$6,Sheet2!$C$6,IF(AR115&lt;=Sheet2!$D$7,Sheet2!$C$7,IF(AR115&lt;=Sheet2!$D$8,Sheet2!$C$8,IF(AR115&lt;=Sheet2!$D$9,Sheet2!$C$9,IF(AR115&lt;=Sheet2!$D$10,Sheet2!$C$10,IF(AR115&lt;=Sheet2!$D$11,Sheet2!$C$11,0))))))))))</f>
        <v>250</v>
      </c>
      <c r="AT115" s="2">
        <f t="shared" si="80"/>
        <v>250</v>
      </c>
      <c r="AU115" s="121"/>
      <c r="AV115" s="121"/>
      <c r="AW115" s="121"/>
      <c r="AX115" s="121"/>
      <c r="AY115" s="121">
        <f t="shared" si="122"/>
        <v>31.25</v>
      </c>
      <c r="AZ115" s="39">
        <f t="shared" si="81"/>
        <v>1062.5</v>
      </c>
      <c r="BA115" s="161" t="s">
        <v>376</v>
      </c>
      <c r="BB115" s="31" t="str">
        <f>IF(AR115&lt;=Sheet2!$D$2,Sheet2!$B$2,IF(AR115&lt;=Sheet2!$D$3,Sheet2!$B$3,IF(AR115&lt;=Sheet2!$D$4,Sheet2!$B$4,IF(AR115&lt;=Sheet2!$D$5,Sheet2!$B$5,IF(AR115&lt;=Sheet2!$D$6,Sheet2!$B$6,IF(AR115&lt;=Sheet2!$D$7,Sheet2!$B$7,IF(AR115&lt;=Sheet2!$D$8,Sheet2!$B$8,IF(AR115&lt;=Sheet2!$D$9,Sheet2!$B$9,IF(AR115&lt;=Sheet2!$D$10,Sheet2!$B$10,IF(AR115&lt;=Sheet2!$D$11,Sheet2!$B$11,0))))))))))</f>
        <v>FXSQ40A</v>
      </c>
    </row>
    <row r="116" spans="1:54" hidden="1" x14ac:dyDescent="0.3">
      <c r="B116" s="176" t="s">
        <v>39</v>
      </c>
      <c r="C116" s="177"/>
      <c r="D116" s="177"/>
      <c r="E116" s="177"/>
      <c r="F116" s="177"/>
      <c r="G116" s="204"/>
      <c r="H116" s="168" t="e">
        <f>#REF!</f>
        <v>#REF!</v>
      </c>
      <c r="I116" s="176"/>
      <c r="J116" s="177"/>
      <c r="K116" s="178"/>
      <c r="L116" s="176" t="e">
        <f>#REF!</f>
        <v>#REF!</v>
      </c>
      <c r="M116" s="177"/>
      <c r="N116" s="177"/>
      <c r="O116" s="178"/>
      <c r="P116" s="176" t="s">
        <v>38</v>
      </c>
      <c r="Q116" s="178"/>
      <c r="R116" s="170">
        <f>SUBTOTAL(9, V5:V115)</f>
        <v>1370</v>
      </c>
      <c r="S116" s="171"/>
      <c r="T116" s="171"/>
      <c r="U116" s="171"/>
      <c r="V116" s="171"/>
      <c r="W116" s="122"/>
      <c r="X116" s="170">
        <f>SUM(AA5:AA115)</f>
        <v>5084</v>
      </c>
      <c r="Y116" s="171"/>
      <c r="Z116" s="171"/>
      <c r="AA116" s="172"/>
      <c r="AB116" s="96"/>
      <c r="AC116" s="96"/>
      <c r="AD116" s="122"/>
      <c r="AE116" s="107" t="e">
        <f t="shared" si="78"/>
        <v>#DIV/0!</v>
      </c>
      <c r="AF116" s="106" t="e">
        <f t="shared" si="79"/>
        <v>#DIV/0!</v>
      </c>
      <c r="AG116" s="171" t="str">
        <f>ROUND(SUM(AJ5:AJ115),0) &amp; " KW"</f>
        <v>0 KW</v>
      </c>
      <c r="AH116" s="171"/>
      <c r="AI116" s="171"/>
      <c r="AJ116" s="172"/>
      <c r="AK116" s="176" t="str">
        <f>ROUND(SUM(AM5:AM66),0) &amp; " KW"</f>
        <v>22 KW</v>
      </c>
      <c r="AL116" s="177"/>
      <c r="AM116" s="178"/>
      <c r="AN116" s="226">
        <f>SUM(AN5:AN115)</f>
        <v>79.7</v>
      </c>
      <c r="AO116" s="222">
        <f>SUM(AO5:AO115)</f>
        <v>77.800000000000011</v>
      </c>
      <c r="AP116" s="138"/>
      <c r="AQ116" s="138"/>
      <c r="AR116" s="159"/>
      <c r="AS116" s="184">
        <f>SUM(AS5:AS66)</f>
        <v>13877</v>
      </c>
      <c r="AT116" s="2">
        <f t="shared" si="80"/>
        <v>13877</v>
      </c>
      <c r="AU116" s="210" t="s">
        <v>38</v>
      </c>
      <c r="AV116" s="210" t="s">
        <v>38</v>
      </c>
      <c r="AW116" s="210" t="s">
        <v>38</v>
      </c>
      <c r="AX116" s="210" t="s">
        <v>38</v>
      </c>
      <c r="AY116" s="210" t="e">
        <f t="shared" si="122"/>
        <v>#REF!</v>
      </c>
      <c r="AZ116" s="184" t="e">
        <f t="shared" ref="AZ116" si="133">AN116/H116*1000</f>
        <v>#REF!</v>
      </c>
      <c r="BA116" s="168" t="s">
        <v>38</v>
      </c>
      <c r="BB116" s="136"/>
    </row>
    <row r="117" spans="1:54" ht="15" hidden="1" thickBot="1" x14ac:dyDescent="0.35">
      <c r="B117" s="179"/>
      <c r="C117" s="180"/>
      <c r="D117" s="180"/>
      <c r="E117" s="180"/>
      <c r="F117" s="180"/>
      <c r="G117" s="205"/>
      <c r="H117" s="169"/>
      <c r="I117" s="179"/>
      <c r="J117" s="180"/>
      <c r="K117" s="181"/>
      <c r="L117" s="179"/>
      <c r="M117" s="180"/>
      <c r="N117" s="180"/>
      <c r="O117" s="181"/>
      <c r="P117" s="179"/>
      <c r="Q117" s="181"/>
      <c r="R117" s="173"/>
      <c r="S117" s="174"/>
      <c r="T117" s="174"/>
      <c r="U117" s="174"/>
      <c r="V117" s="174"/>
      <c r="W117" s="94"/>
      <c r="X117" s="173"/>
      <c r="Y117" s="174"/>
      <c r="Z117" s="174"/>
      <c r="AA117" s="175"/>
      <c r="AB117" s="97"/>
      <c r="AC117" s="97"/>
      <c r="AD117" s="94"/>
      <c r="AE117" s="107" t="e">
        <f t="shared" si="78"/>
        <v>#DIV/0!</v>
      </c>
      <c r="AF117" s="106" t="e">
        <f t="shared" si="79"/>
        <v>#DIV/0!</v>
      </c>
      <c r="AG117" s="174"/>
      <c r="AH117" s="174"/>
      <c r="AI117" s="174"/>
      <c r="AJ117" s="175"/>
      <c r="AK117" s="179"/>
      <c r="AL117" s="180"/>
      <c r="AM117" s="181"/>
      <c r="AN117" s="183"/>
      <c r="AO117" s="185"/>
      <c r="AP117" s="139"/>
      <c r="AQ117" s="139"/>
      <c r="AR117" s="139"/>
      <c r="AS117" s="185"/>
      <c r="AT117" s="2">
        <f t="shared" si="80"/>
        <v>0</v>
      </c>
      <c r="AU117" s="167"/>
      <c r="AV117" s="167"/>
      <c r="AW117" s="167"/>
      <c r="AX117" s="167"/>
      <c r="AY117" s="167"/>
      <c r="AZ117" s="185"/>
      <c r="BA117" s="169"/>
      <c r="BB117" s="137"/>
    </row>
    <row r="122" spans="1:54" x14ac:dyDescent="0.3">
      <c r="W122" s="1">
        <f>665*1.1-680</f>
        <v>51.500000000000114</v>
      </c>
      <c r="AA122" s="1">
        <v>-1</v>
      </c>
    </row>
  </sheetData>
  <autoFilter ref="A4:CJ117" xr:uid="{00000000-0009-0000-0000-000001000000}">
    <filterColumn colId="3">
      <filters>
        <filter val="FF-001"/>
        <filter val="FF-002"/>
        <filter val="FF-003"/>
        <filter val="FF-004"/>
        <filter val="FF-005"/>
        <filter val="FF-006"/>
        <filter val="FF-007"/>
        <filter val="FF-008"/>
        <filter val="FF-009"/>
        <filter val="FF-010"/>
        <filter val="FF-011"/>
        <filter val="FF-012"/>
        <filter val="FF-013"/>
        <filter val="FF-014"/>
        <filter val="FF-015"/>
        <filter val="FF-016"/>
        <filter val="FF-017"/>
        <filter val="FF-018"/>
        <filter val="FF-019"/>
        <filter val="FF-020"/>
        <filter val="FF-021"/>
        <filter val="FF-022"/>
        <filter val="FF-023"/>
        <filter val="FF-024"/>
        <filter val="FF-025"/>
        <filter val="FF-026"/>
        <filter val="FF-027"/>
        <filter val="FF-028"/>
        <filter val="FF-029"/>
        <filter val="FF-030"/>
        <filter val="FF-031"/>
        <filter val="FF-033"/>
        <filter val="FF-034"/>
        <filter val="FF-035"/>
        <filter val="FF-036"/>
        <filter val="FF-037"/>
        <filter val="FF-038"/>
        <filter val="FF-039"/>
        <filter val="FF-040"/>
      </filters>
    </filterColumn>
  </autoFilter>
  <mergeCells count="38">
    <mergeCell ref="H116:H117"/>
    <mergeCell ref="I2:K3"/>
    <mergeCell ref="X3:AA3"/>
    <mergeCell ref="W2:W4"/>
    <mergeCell ref="B116:G117"/>
    <mergeCell ref="R116:V117"/>
    <mergeCell ref="P116:Q117"/>
    <mergeCell ref="I116:K117"/>
    <mergeCell ref="B2:G2"/>
    <mergeCell ref="B3:G3"/>
    <mergeCell ref="L116:O117"/>
    <mergeCell ref="AD2:AD4"/>
    <mergeCell ref="X116:AA117"/>
    <mergeCell ref="AN116:AN117"/>
    <mergeCell ref="X2:AA2"/>
    <mergeCell ref="AG2:AJ3"/>
    <mergeCell ref="AK116:AM117"/>
    <mergeCell ref="AG116:AJ117"/>
    <mergeCell ref="AF2:AF4"/>
    <mergeCell ref="AE2:AE4"/>
    <mergeCell ref="AB2:AB4"/>
    <mergeCell ref="AC2:AC4"/>
    <mergeCell ref="BA116:BA117"/>
    <mergeCell ref="B1:BB1"/>
    <mergeCell ref="P2:Q2"/>
    <mergeCell ref="R2:V2"/>
    <mergeCell ref="L2:O2"/>
    <mergeCell ref="AZ116:AZ117"/>
    <mergeCell ref="AY116:AY117"/>
    <mergeCell ref="AX116:AX117"/>
    <mergeCell ref="AW116:AW117"/>
    <mergeCell ref="AK2:AM3"/>
    <mergeCell ref="AN2:BB3"/>
    <mergeCell ref="R3:V3"/>
    <mergeCell ref="AV116:AV117"/>
    <mergeCell ref="AU116:AU117"/>
    <mergeCell ref="AS116:AS117"/>
    <mergeCell ref="AO116:AO117"/>
  </mergeCells>
  <phoneticPr fontId="2" type="noConversion"/>
  <conditionalFormatting sqref="AD5:AF5 AD6:AD115 AE6:AF117">
    <cfRule type="containsText" dxfId="5" priority="8" operator="containsText" text="Positive">
      <formula>NOT(ISERROR(SEARCH("Positive",AD5)))</formula>
    </cfRule>
    <cfRule type="containsText" dxfId="4" priority="9" operator="containsText" text="Negative">
      <formula>NOT(ISERROR(SEARCH("Negative",AD5)))</formula>
    </cfRule>
    <cfRule type="containsText" dxfId="3" priority="10" operator="containsText" text="Positive">
      <formula>NOT(ISERROR(SEARCH("Positive",AD5)))</formula>
    </cfRule>
  </conditionalFormatting>
  <conditionalFormatting sqref="AD5:AF5 AE6:AF117 AD6:AD115">
    <cfRule type="containsText" dxfId="2" priority="7" operator="containsText" text="Neutral">
      <formula>NOT(ISERROR(SEARCH("Neutral",AD5)))</formula>
    </cfRule>
  </conditionalFormatting>
  <conditionalFormatting sqref="AF5:AF117">
    <cfRule type="containsText" dxfId="1" priority="5" operator="containsText" text="True">
      <formula>NOT(ISERROR(SEARCH("True",AF5)))</formula>
    </cfRule>
    <cfRule type="containsText" dxfId="0" priority="6" operator="containsText" text="False">
      <formula>NOT(ISERROR(SEARCH("False",AF5)))</formula>
    </cfRule>
  </conditionalFormatting>
  <dataValidations count="1">
    <dataValidation type="list" allowBlank="1" showInputMessage="1" showErrorMessage="1" sqref="A77" xr:uid="{00000000-0002-0000-0100-000000000000}"/>
  </dataValidations>
  <pageMargins left="0.25" right="0.25" top="0.25" bottom="0.25" header="0.3" footer="0.3"/>
  <pageSetup paperSize="9" scale="90" fitToHeight="10" orientation="landscape" r:id="rId1"/>
  <ignoredErrors>
    <ignoredError sqref="Z6 Z14 Z34 Z41 U41 U35 Z45 U49 Z49 U14 Z57 U56:U57 U80 U95 Z95 X90:Z90 U90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Data!$A$2:$A$18</xm:f>
          </x14:formula1>
          <xm:sqref>A115 A78:A84 A33:A76 A6:A31 A103:A107 A113 A109:A111 A98:A101 A96 A86:A94</xm:sqref>
        </x14:dataValidation>
        <x14:dataValidation type="list" allowBlank="1" showInputMessage="1" showErrorMessage="1" xr:uid="{00000000-0002-0000-0100-000002000000}">
          <x14:formula1>
            <xm:f>Data!$A$2:$A$16</xm:f>
          </x14:formula1>
          <xm:sqref>A5 A108 A32 A114 A112 A102 A97 A95 A85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10" zoomScaleNormal="110" workbookViewId="0">
      <selection activeCell="B19" sqref="B19"/>
    </sheetView>
  </sheetViews>
  <sheetFormatPr defaultRowHeight="14.4" x14ac:dyDescent="0.3"/>
  <cols>
    <col min="1" max="1" width="20.88671875" bestFit="1" customWidth="1"/>
    <col min="2" max="2" width="29" customWidth="1"/>
    <col min="3" max="3" width="27" bestFit="1" customWidth="1"/>
    <col min="4" max="4" width="20.33203125" customWidth="1"/>
    <col min="5" max="5" width="22" bestFit="1" customWidth="1"/>
    <col min="6" max="6" width="14.33203125" bestFit="1" customWidth="1"/>
    <col min="7" max="7" width="24.109375" bestFit="1" customWidth="1"/>
  </cols>
  <sheetData>
    <row r="1" spans="1:7" x14ac:dyDescent="0.3">
      <c r="A1" t="s">
        <v>41</v>
      </c>
      <c r="B1" t="s">
        <v>116</v>
      </c>
      <c r="C1" t="s">
        <v>123</v>
      </c>
      <c r="D1" s="45" t="s">
        <v>122</v>
      </c>
      <c r="E1" t="s">
        <v>117</v>
      </c>
      <c r="F1" t="s">
        <v>118</v>
      </c>
      <c r="G1" t="s">
        <v>119</v>
      </c>
    </row>
    <row r="2" spans="1:7" x14ac:dyDescent="0.3">
      <c r="A2" t="s">
        <v>109</v>
      </c>
      <c r="B2">
        <v>2</v>
      </c>
      <c r="E2">
        <v>7.5</v>
      </c>
      <c r="F2">
        <v>10</v>
      </c>
    </row>
    <row r="3" spans="1:7" x14ac:dyDescent="0.3">
      <c r="A3" t="s">
        <v>9</v>
      </c>
      <c r="B3">
        <v>5</v>
      </c>
      <c r="C3">
        <v>0.3</v>
      </c>
      <c r="D3">
        <v>2.5</v>
      </c>
      <c r="F3">
        <v>10</v>
      </c>
    </row>
    <row r="4" spans="1:7" x14ac:dyDescent="0.3">
      <c r="A4" t="s">
        <v>110</v>
      </c>
      <c r="E4" s="46" t="s">
        <v>120</v>
      </c>
      <c r="F4">
        <v>10</v>
      </c>
    </row>
    <row r="5" spans="1:7" x14ac:dyDescent="0.3">
      <c r="A5" s="44" t="s">
        <v>111</v>
      </c>
      <c r="F5">
        <v>10</v>
      </c>
    </row>
    <row r="6" spans="1:7" x14ac:dyDescent="0.3">
      <c r="A6" t="s">
        <v>112</v>
      </c>
      <c r="B6">
        <v>50</v>
      </c>
      <c r="C6">
        <v>0.3</v>
      </c>
      <c r="D6">
        <v>3.8</v>
      </c>
      <c r="F6">
        <v>10</v>
      </c>
    </row>
    <row r="7" spans="1:7" x14ac:dyDescent="0.3">
      <c r="A7" t="s">
        <v>113</v>
      </c>
      <c r="B7">
        <v>100</v>
      </c>
      <c r="C7">
        <v>0.9</v>
      </c>
      <c r="D7">
        <v>3.8</v>
      </c>
      <c r="F7">
        <v>10</v>
      </c>
    </row>
    <row r="8" spans="1:7" x14ac:dyDescent="0.3">
      <c r="A8" t="s">
        <v>114</v>
      </c>
      <c r="B8">
        <v>120</v>
      </c>
      <c r="C8">
        <v>0.3</v>
      </c>
      <c r="D8">
        <v>2.5</v>
      </c>
      <c r="F8">
        <v>10</v>
      </c>
    </row>
    <row r="9" spans="1:7" x14ac:dyDescent="0.3">
      <c r="A9" s="44" t="s">
        <v>115</v>
      </c>
      <c r="E9">
        <v>1.25</v>
      </c>
      <c r="F9">
        <v>10</v>
      </c>
    </row>
    <row r="10" spans="1:7" x14ac:dyDescent="0.3">
      <c r="A10" t="s">
        <v>121</v>
      </c>
      <c r="B10">
        <v>0</v>
      </c>
      <c r="D10">
        <v>0</v>
      </c>
      <c r="E10">
        <v>5</v>
      </c>
      <c r="F10">
        <v>10</v>
      </c>
    </row>
    <row r="11" spans="1:7" x14ac:dyDescent="0.3">
      <c r="A11" t="s">
        <v>8</v>
      </c>
      <c r="B11">
        <v>0</v>
      </c>
      <c r="C11">
        <v>0.3</v>
      </c>
      <c r="D11">
        <v>0</v>
      </c>
      <c r="E11">
        <v>0</v>
      </c>
      <c r="F11">
        <v>10</v>
      </c>
    </row>
    <row r="12" spans="1:7" x14ac:dyDescent="0.3">
      <c r="A12" t="s">
        <v>137</v>
      </c>
      <c r="B12">
        <v>30</v>
      </c>
      <c r="C12">
        <v>0.3</v>
      </c>
      <c r="D12">
        <v>2.5</v>
      </c>
      <c r="F12">
        <v>10</v>
      </c>
    </row>
    <row r="13" spans="1:7" x14ac:dyDescent="0.3">
      <c r="A13" t="s">
        <v>171</v>
      </c>
      <c r="C13">
        <v>0.3</v>
      </c>
      <c r="F13">
        <v>10</v>
      </c>
    </row>
    <row r="14" spans="1:7" x14ac:dyDescent="0.3">
      <c r="A14" t="s">
        <v>284</v>
      </c>
      <c r="B14">
        <v>50</v>
      </c>
      <c r="C14">
        <v>0.3</v>
      </c>
      <c r="D14">
        <v>2.5</v>
      </c>
      <c r="F14">
        <v>10</v>
      </c>
    </row>
    <row r="15" spans="1:7" x14ac:dyDescent="0.3">
      <c r="A15" t="s">
        <v>285</v>
      </c>
      <c r="B15">
        <v>10</v>
      </c>
      <c r="C15">
        <v>0.3</v>
      </c>
      <c r="D15">
        <v>2.5</v>
      </c>
      <c r="F15">
        <v>10</v>
      </c>
    </row>
    <row r="16" spans="1:7" x14ac:dyDescent="0.3">
      <c r="A16" t="s">
        <v>286</v>
      </c>
      <c r="E16">
        <v>1.25</v>
      </c>
      <c r="F16">
        <v>10</v>
      </c>
    </row>
    <row r="17" spans="1:6" x14ac:dyDescent="0.3">
      <c r="A17" t="s">
        <v>44</v>
      </c>
      <c r="B17">
        <v>10</v>
      </c>
      <c r="C17">
        <v>0.3</v>
      </c>
      <c r="D17">
        <v>2.5</v>
      </c>
      <c r="E17">
        <v>0</v>
      </c>
      <c r="F17">
        <v>10</v>
      </c>
    </row>
    <row r="18" spans="1:6" x14ac:dyDescent="0.3">
      <c r="A18" t="s">
        <v>301</v>
      </c>
      <c r="E18">
        <v>5</v>
      </c>
      <c r="F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1"/>
  <sheetViews>
    <sheetView zoomScale="140" zoomScaleNormal="140" workbookViewId="0">
      <selection activeCell="B6" sqref="B6"/>
    </sheetView>
  </sheetViews>
  <sheetFormatPr defaultRowHeight="14.4" x14ac:dyDescent="0.3"/>
  <cols>
    <col min="2" max="4" width="36.33203125" customWidth="1"/>
  </cols>
  <sheetData>
    <row r="1" spans="2:4" x14ac:dyDescent="0.3">
      <c r="B1" s="146" t="s">
        <v>364</v>
      </c>
      <c r="C1" s="149" t="s">
        <v>367</v>
      </c>
      <c r="D1" s="147" t="s">
        <v>368</v>
      </c>
    </row>
    <row r="2" spans="2:4" x14ac:dyDescent="0.3">
      <c r="B2" s="33" t="s">
        <v>358</v>
      </c>
      <c r="C2" s="42">
        <v>150</v>
      </c>
      <c r="D2" s="31">
        <v>1.5</v>
      </c>
    </row>
    <row r="3" spans="2:4" x14ac:dyDescent="0.3">
      <c r="B3" s="33" t="s">
        <v>359</v>
      </c>
      <c r="C3" s="42">
        <v>150</v>
      </c>
      <c r="D3" s="31">
        <v>1.8</v>
      </c>
    </row>
    <row r="4" spans="2:4" x14ac:dyDescent="0.3">
      <c r="B4" s="33" t="s">
        <v>365</v>
      </c>
      <c r="C4" s="42">
        <v>158</v>
      </c>
      <c r="D4" s="31">
        <v>2.4</v>
      </c>
    </row>
    <row r="5" spans="2:4" x14ac:dyDescent="0.3">
      <c r="B5" s="33" t="s">
        <v>357</v>
      </c>
      <c r="C5" s="42">
        <v>250</v>
      </c>
      <c r="D5" s="31">
        <v>3</v>
      </c>
    </row>
    <row r="6" spans="2:4" x14ac:dyDescent="0.3">
      <c r="B6" s="118" t="s">
        <v>355</v>
      </c>
      <c r="C6" s="114">
        <v>253</v>
      </c>
      <c r="D6" s="115">
        <v>3.7</v>
      </c>
    </row>
    <row r="7" spans="2:4" x14ac:dyDescent="0.3">
      <c r="B7" s="118" t="s">
        <v>356</v>
      </c>
      <c r="C7" s="114">
        <v>350</v>
      </c>
      <c r="D7" s="115">
        <v>4.5999999999999996</v>
      </c>
    </row>
    <row r="8" spans="2:4" x14ac:dyDescent="0.3">
      <c r="B8" s="118" t="s">
        <v>353</v>
      </c>
      <c r="C8" s="114">
        <v>383</v>
      </c>
      <c r="D8" s="115">
        <v>5.8</v>
      </c>
    </row>
    <row r="9" spans="2:4" x14ac:dyDescent="0.3">
      <c r="B9" s="118" t="s">
        <v>354</v>
      </c>
      <c r="C9" s="114">
        <v>533</v>
      </c>
      <c r="D9" s="115">
        <v>7.4</v>
      </c>
    </row>
    <row r="10" spans="2:4" x14ac:dyDescent="0.3">
      <c r="B10" s="118" t="s">
        <v>366</v>
      </c>
      <c r="C10" s="114">
        <v>600</v>
      </c>
      <c r="D10" s="115">
        <v>9.1</v>
      </c>
    </row>
    <row r="11" spans="2:4" ht="15" thickBot="1" x14ac:dyDescent="0.35">
      <c r="B11" s="148" t="s">
        <v>360</v>
      </c>
      <c r="C11" s="150">
        <v>650</v>
      </c>
      <c r="D11" s="131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SB</vt:lpstr>
      <vt:lpstr>MB</vt:lpstr>
      <vt:lpstr>Data</vt:lpstr>
      <vt:lpstr>Sheet2</vt:lpstr>
      <vt:lpstr>MB!Print_Titles</vt:lpstr>
      <vt:lpstr>SB!Print_Titles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Fouad Mrad</dc:creator>
  <cp:lastModifiedBy>SETS Group28</cp:lastModifiedBy>
  <cp:lastPrinted>2025-12-23T10:30:00Z</cp:lastPrinted>
  <dcterms:created xsi:type="dcterms:W3CDTF">2023-05-31T08:21:32Z</dcterms:created>
  <dcterms:modified xsi:type="dcterms:W3CDTF">2026-01-05T15:03:16Z</dcterms:modified>
</cp:coreProperties>
</file>