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.224\New8TB\1-Projects In Hand\2.2.2980. Fate_299 LANGTON AVE LOS ALTOS CA 94022 MEP T24\Working Folder\MP\Calculations\"/>
    </mc:Choice>
  </mc:AlternateContent>
  <xr:revisionPtr revIDLastSave="0" documentId="13_ncr:1_{EA233EA4-1563-4C10-9B2A-A3E6BDFA501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12" i="1"/>
  <c r="L6" i="1"/>
  <c r="L5" i="1"/>
  <c r="F15" i="1"/>
  <c r="G15" i="1" s="1"/>
  <c r="H12" i="1"/>
  <c r="H13" i="1"/>
  <c r="H15" i="1" s="1"/>
  <c r="H14" i="1"/>
  <c r="G12" i="1"/>
  <c r="F8" i="1"/>
  <c r="G8" i="1" s="1"/>
  <c r="G14" i="1"/>
  <c r="A14" i="1"/>
  <c r="G13" i="1"/>
  <c r="A13" i="1"/>
  <c r="G4" i="1"/>
  <c r="H4" i="1" s="1"/>
  <c r="G5" i="1"/>
  <c r="H5" i="1" s="1"/>
  <c r="G6" i="1"/>
  <c r="H6" i="1" s="1"/>
  <c r="G7" i="1"/>
  <c r="H7" i="1" s="1"/>
  <c r="G3" i="1"/>
  <c r="H3" i="1" s="1"/>
  <c r="H8" i="1" s="1"/>
  <c r="A4" i="1"/>
  <c r="A5" i="1" s="1"/>
  <c r="A6" i="1" s="1"/>
  <c r="A7" i="1" s="1"/>
</calcChain>
</file>

<file path=xl/sharedStrings.xml><?xml version="1.0" encoding="utf-8"?>
<sst xmlns="http://schemas.openxmlformats.org/spreadsheetml/2006/main" count="36" uniqueCount="20">
  <si>
    <t>Segment Nb</t>
  </si>
  <si>
    <t>Pressure Drop (in) / 100 ft</t>
  </si>
  <si>
    <t>Length (ft)</t>
  </si>
  <si>
    <t>Pipe Size (in)</t>
  </si>
  <si>
    <t>Adjusted Length (ft)</t>
  </si>
  <si>
    <t>FITTINGS FACTOR</t>
  </si>
  <si>
    <t>Pressure Drop (in)</t>
  </si>
  <si>
    <t>Flow (WSFU)</t>
  </si>
  <si>
    <t>Flow (GPM)</t>
  </si>
  <si>
    <t>HOT WATER RETURN LOOP</t>
  </si>
  <si>
    <t>HOT WATER SUPPLY LOOP</t>
  </si>
  <si>
    <t>TOTAL</t>
  </si>
  <si>
    <t>-</t>
  </si>
  <si>
    <t>TOTAL PRESSURE DROP (in)</t>
  </si>
  <si>
    <t>in</t>
  </si>
  <si>
    <t>psi</t>
  </si>
  <si>
    <t>RESIDUAL PRESSURE (psi)</t>
  </si>
  <si>
    <t>TOTAL PUMP PRESSURE (psi)</t>
  </si>
  <si>
    <t>NO F.O.S</t>
  </si>
  <si>
    <t xml:space="preserve">+20%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</si>
</sst>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2" fontId="0" fillId="0" borderId="0" xfId="0" applyNumberFormat="1"/>
    <xf numFmtId="12" fontId="0" fillId="0" borderId="0" xfId="0" applyNumberFormat="1" applyAlignment="1">
      <alignment horizontal="center" vertic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4" borderId="0" xfId="3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EA763-9287-4993-AEDB-1B33B67580CB}" name="Table1" displayName="Table1" ref="A2:H8" totalsRowShown="0" headerRowDxfId="19" dataDxfId="9">
  <autoFilter ref="A2:H8" xr:uid="{431EA763-9287-4993-AEDB-1B33B67580CB}"/>
  <tableColumns count="8">
    <tableColumn id="1" xr3:uid="{21BC9154-3358-490E-919A-243B5BD5A407}" name="Segment Nb" dataDxfId="17">
      <calculatedColumnFormula>A2+1</calculatedColumnFormula>
    </tableColumn>
    <tableColumn id="2" xr3:uid="{44AF6672-ECD0-44F3-B770-4088F5162B76}" name="Flow (WSFU)" dataDxfId="16"/>
    <tableColumn id="3" xr3:uid="{372FF4CF-CC1F-49BE-9A3C-A6C93F0E5C5B}" name="Flow (GPM)" dataDxfId="15"/>
    <tableColumn id="4" xr3:uid="{D656F27E-C570-457F-A8BE-1FC878EF1D00}" name="Pipe Size (in)" dataDxfId="14"/>
    <tableColumn id="5" xr3:uid="{3519A592-752D-47AD-9C9F-F68662A74D8C}" name="Pressure Drop (in) / 100 ft" dataDxfId="13"/>
    <tableColumn id="6" xr3:uid="{2176478E-55AF-48F2-87AA-027478999C6D}" name="Length (ft)" dataDxfId="12"/>
    <tableColumn id="7" xr3:uid="{94EDF77B-E409-4D42-AF74-0275C1FFAEB9}" name="Adjusted Length (ft)" dataDxfId="11">
      <calculatedColumnFormula>F3*$K$2</calculatedColumnFormula>
    </tableColumn>
    <tableColumn id="8" xr3:uid="{BF2737B0-5E84-4401-ACA3-1A2C5372C299}" name="Pressure Drop (in)" dataDxfId="10">
      <calculatedColumnFormula>E3*G3/100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930DE-13B8-4974-9329-391660DD861D}" name="Table13" displayName="Table13" ref="A11:H15" totalsRowShown="0" headerRowDxfId="18" dataDxfId="1">
  <autoFilter ref="A11:H15" xr:uid="{482930DE-13B8-4974-9329-391660DD861D}"/>
  <tableColumns count="8">
    <tableColumn id="1" xr3:uid="{E0BDBF9E-7CEE-420B-A7BA-21F5244D7907}" name="Segment Nb" dataDxfId="8">
      <calculatedColumnFormula>A11+1</calculatedColumnFormula>
    </tableColumn>
    <tableColumn id="2" xr3:uid="{952C7FEC-2886-462D-A02C-33BE6EE113EE}" name="Flow (WSFU)" dataDxfId="7"/>
    <tableColumn id="3" xr3:uid="{0CED721A-25F6-4F73-B898-E5867DFC4CA9}" name="Flow (GPM)" dataDxfId="6"/>
    <tableColumn id="4" xr3:uid="{D057A960-612B-4CB5-837D-1F4CA8DF0CE8}" name="Pipe Size (in)" dataDxfId="5"/>
    <tableColumn id="5" xr3:uid="{F2F4771F-BB74-413E-84F7-68B9A30B5746}" name="Pressure Drop (in) / 100 ft" dataDxfId="4"/>
    <tableColumn id="6" xr3:uid="{054E8282-0528-40A8-B7C0-26370EBA74D5}" name="Length (ft)" dataDxfId="3"/>
    <tableColumn id="7" xr3:uid="{13A6C163-A03B-4B9E-BCA6-1C51E1B1FC25}" name="Adjusted Length (ft)" dataDxfId="2">
      <calculatedColumnFormula>F12*$K$2</calculatedColumnFormula>
    </tableColumn>
    <tableColumn id="8" xr3:uid="{65A33E13-EABE-4918-9F5B-1F6DAE48EE74}" name="Pressure Drop (in)" dataDxfId="0">
      <calculatedColumnFormula>E12*G12/100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L23" sqref="L23"/>
    </sheetView>
  </sheetViews>
  <sheetFormatPr defaultRowHeight="15" x14ac:dyDescent="0.25"/>
  <cols>
    <col min="1" max="1" width="16.42578125" bestFit="1" customWidth="1"/>
    <col min="2" max="2" width="17.140625" bestFit="1" customWidth="1"/>
    <col min="3" max="3" width="16.140625" bestFit="1" customWidth="1"/>
    <col min="4" max="4" width="17.140625" style="3" bestFit="1" customWidth="1"/>
    <col min="5" max="5" width="28.5703125" bestFit="1" customWidth="1"/>
    <col min="6" max="6" width="14.85546875" bestFit="1" customWidth="1"/>
    <col min="7" max="7" width="23.5703125" bestFit="1" customWidth="1"/>
    <col min="8" max="8" width="21.85546875" bestFit="1" customWidth="1"/>
    <col min="11" max="12" width="15.7109375" customWidth="1"/>
  </cols>
  <sheetData>
    <row r="1" spans="1:12" x14ac:dyDescent="0.25">
      <c r="A1" s="5" t="s">
        <v>10</v>
      </c>
      <c r="B1" s="5"/>
      <c r="C1" s="5"/>
      <c r="D1" s="5"/>
      <c r="E1" s="5"/>
      <c r="F1" s="5"/>
      <c r="G1" s="5"/>
      <c r="H1" s="5"/>
      <c r="K1" s="9" t="s">
        <v>5</v>
      </c>
      <c r="L1" s="9"/>
    </row>
    <row r="2" spans="1:12" x14ac:dyDescent="0.25">
      <c r="A2" s="2" t="s">
        <v>0</v>
      </c>
      <c r="B2" s="2" t="s">
        <v>7</v>
      </c>
      <c r="C2" s="2" t="s">
        <v>8</v>
      </c>
      <c r="D2" s="4" t="s">
        <v>3</v>
      </c>
      <c r="E2" s="2" t="s">
        <v>1</v>
      </c>
      <c r="F2" s="2" t="s">
        <v>2</v>
      </c>
      <c r="G2" s="2" t="s">
        <v>4</v>
      </c>
      <c r="H2" s="2" t="s">
        <v>6</v>
      </c>
      <c r="K2" s="10">
        <v>1.25</v>
      </c>
      <c r="L2" s="10"/>
    </row>
    <row r="3" spans="1:12" x14ac:dyDescent="0.25">
      <c r="A3" s="2">
        <v>1</v>
      </c>
      <c r="B3" s="2">
        <v>1</v>
      </c>
      <c r="C3" s="2">
        <v>1</v>
      </c>
      <c r="D3" s="4">
        <v>0.5</v>
      </c>
      <c r="E3" s="2">
        <v>1.2</v>
      </c>
      <c r="F3" s="2">
        <v>6.5</v>
      </c>
      <c r="G3" s="2">
        <f>F3*$K$2</f>
        <v>8.125</v>
      </c>
      <c r="H3" s="2">
        <f>E3*G3/100</f>
        <v>9.7500000000000003E-2</v>
      </c>
    </row>
    <row r="4" spans="1:12" x14ac:dyDescent="0.25">
      <c r="A4" s="2">
        <f>A3+1</f>
        <v>2</v>
      </c>
      <c r="B4" s="2">
        <v>7</v>
      </c>
      <c r="C4" s="2">
        <v>5</v>
      </c>
      <c r="D4" s="4">
        <v>0.75</v>
      </c>
      <c r="E4" s="2">
        <v>3.2</v>
      </c>
      <c r="F4" s="2">
        <v>35</v>
      </c>
      <c r="G4" s="2">
        <f t="shared" ref="G4:G7" si="0">F4*$K$2</f>
        <v>43.75</v>
      </c>
      <c r="H4" s="2">
        <f>E4*G4/100</f>
        <v>1.4</v>
      </c>
      <c r="K4" s="9" t="s">
        <v>13</v>
      </c>
      <c r="L4" s="9"/>
    </row>
    <row r="5" spans="1:12" x14ac:dyDescent="0.25">
      <c r="A5" s="2">
        <f t="shared" ref="A5:A7" si="1">A4+1</f>
        <v>3</v>
      </c>
      <c r="B5" s="2">
        <v>26.5</v>
      </c>
      <c r="C5" s="2">
        <v>20</v>
      </c>
      <c r="D5" s="7">
        <v>1</v>
      </c>
      <c r="E5" s="2">
        <v>10</v>
      </c>
      <c r="F5" s="2">
        <v>32</v>
      </c>
      <c r="G5" s="2">
        <f t="shared" si="0"/>
        <v>40</v>
      </c>
      <c r="H5" s="2">
        <f>E5*G5/100</f>
        <v>4</v>
      </c>
      <c r="K5" s="2" t="s">
        <v>14</v>
      </c>
      <c r="L5" s="11">
        <f>H8+H15</f>
        <v>32.364374999999995</v>
      </c>
    </row>
    <row r="6" spans="1:12" x14ac:dyDescent="0.25">
      <c r="A6" s="2">
        <f t="shared" si="1"/>
        <v>4</v>
      </c>
      <c r="B6" s="2">
        <v>46.5</v>
      </c>
      <c r="C6" s="2">
        <v>27</v>
      </c>
      <c r="D6" s="4">
        <v>1.25</v>
      </c>
      <c r="E6" s="2">
        <v>6.5</v>
      </c>
      <c r="F6" s="2">
        <v>30.5</v>
      </c>
      <c r="G6" s="2">
        <f t="shared" si="0"/>
        <v>38.125</v>
      </c>
      <c r="H6" s="2">
        <f t="shared" ref="H6:H7" si="2">E6*G6/100</f>
        <v>2.4781249999999999</v>
      </c>
      <c r="K6" s="2" t="s">
        <v>15</v>
      </c>
      <c r="L6" s="11">
        <f>L5*0.04</f>
        <v>1.2945749999999998</v>
      </c>
    </row>
    <row r="7" spans="1:12" x14ac:dyDescent="0.25">
      <c r="A7" s="2">
        <f t="shared" si="1"/>
        <v>5</v>
      </c>
      <c r="B7" s="2">
        <v>51</v>
      </c>
      <c r="C7" s="2">
        <v>30</v>
      </c>
      <c r="D7" s="4">
        <v>1.5</v>
      </c>
      <c r="E7" s="2">
        <v>3.5</v>
      </c>
      <c r="F7" s="2">
        <v>5.6</v>
      </c>
      <c r="G7" s="2">
        <f t="shared" si="0"/>
        <v>7</v>
      </c>
      <c r="H7" s="2">
        <f t="shared" si="2"/>
        <v>0.245</v>
      </c>
      <c r="K7" s="8"/>
      <c r="L7" s="11"/>
    </row>
    <row r="8" spans="1:12" x14ac:dyDescent="0.25">
      <c r="A8" s="2" t="s">
        <v>11</v>
      </c>
      <c r="B8" s="8" t="s">
        <v>12</v>
      </c>
      <c r="C8" s="8" t="s">
        <v>12</v>
      </c>
      <c r="D8" s="8" t="s">
        <v>12</v>
      </c>
      <c r="E8" s="8" t="s">
        <v>12</v>
      </c>
      <c r="F8" s="2">
        <f>SUM(F3:F7)</f>
        <v>109.6</v>
      </c>
      <c r="G8" s="2">
        <f>F8*$K$2</f>
        <v>137</v>
      </c>
      <c r="H8" s="2">
        <f>SUM(H3:H7)</f>
        <v>8.2206249999999983</v>
      </c>
      <c r="K8" s="9" t="s">
        <v>16</v>
      </c>
      <c r="L8" s="9"/>
    </row>
    <row r="9" spans="1:12" x14ac:dyDescent="0.25">
      <c r="D9"/>
      <c r="K9" s="1">
        <v>15</v>
      </c>
      <c r="L9" s="1"/>
    </row>
    <row r="10" spans="1:12" x14ac:dyDescent="0.25">
      <c r="A10" s="6" t="s">
        <v>9</v>
      </c>
      <c r="B10" s="6"/>
      <c r="C10" s="6"/>
      <c r="D10" s="6"/>
      <c r="E10" s="6"/>
      <c r="F10" s="6"/>
      <c r="G10" s="6"/>
      <c r="H10" s="6"/>
    </row>
    <row r="11" spans="1:12" x14ac:dyDescent="0.25">
      <c r="A11" s="2" t="s">
        <v>0</v>
      </c>
      <c r="B11" s="2" t="s">
        <v>7</v>
      </c>
      <c r="C11" s="2" t="s">
        <v>8</v>
      </c>
      <c r="D11" s="4" t="s">
        <v>3</v>
      </c>
      <c r="E11" s="2" t="s">
        <v>1</v>
      </c>
      <c r="F11" s="2" t="s">
        <v>2</v>
      </c>
      <c r="G11" s="2" t="s">
        <v>4</v>
      </c>
      <c r="H11" s="2" t="s">
        <v>6</v>
      </c>
      <c r="K11" s="9" t="s">
        <v>17</v>
      </c>
      <c r="L11" s="9"/>
    </row>
    <row r="12" spans="1:12" x14ac:dyDescent="0.25">
      <c r="A12" s="2">
        <v>1</v>
      </c>
      <c r="B12" s="2">
        <v>7</v>
      </c>
      <c r="C12" s="2">
        <v>5</v>
      </c>
      <c r="D12" s="4">
        <v>0.5</v>
      </c>
      <c r="E12" s="2">
        <v>18</v>
      </c>
      <c r="F12" s="2">
        <v>35.35</v>
      </c>
      <c r="G12" s="2">
        <f t="shared" ref="G12:G14" si="3">F12*$K$2</f>
        <v>44.1875</v>
      </c>
      <c r="H12" s="2">
        <f>E12*G12/100</f>
        <v>7.9537500000000003</v>
      </c>
      <c r="K12" s="2" t="s">
        <v>18</v>
      </c>
      <c r="L12" s="11">
        <f>K9+L6</f>
        <v>16.294574999999998</v>
      </c>
    </row>
    <row r="13" spans="1:12" x14ac:dyDescent="0.25">
      <c r="A13" s="2">
        <f>A12+1</f>
        <v>2</v>
      </c>
      <c r="B13" s="2">
        <v>21</v>
      </c>
      <c r="C13" s="2">
        <v>15</v>
      </c>
      <c r="D13" s="4">
        <v>0.75</v>
      </c>
      <c r="E13" s="2">
        <v>16</v>
      </c>
      <c r="F13" s="2">
        <v>32</v>
      </c>
      <c r="G13" s="2">
        <f t="shared" si="3"/>
        <v>40</v>
      </c>
      <c r="H13" s="2">
        <f>E13*G13/100</f>
        <v>6.4</v>
      </c>
      <c r="K13" s="8" t="s">
        <v>19</v>
      </c>
      <c r="L13" s="11">
        <f>L12*1.2</f>
        <v>19.553489999999996</v>
      </c>
    </row>
    <row r="14" spans="1:12" x14ac:dyDescent="0.25">
      <c r="A14" s="2">
        <f t="shared" ref="A14" si="4">A13+1</f>
        <v>3</v>
      </c>
      <c r="B14" s="2">
        <v>51</v>
      </c>
      <c r="C14" s="2">
        <v>30</v>
      </c>
      <c r="D14" s="7">
        <v>1</v>
      </c>
      <c r="E14" s="2">
        <v>22</v>
      </c>
      <c r="F14" s="2">
        <v>35.6</v>
      </c>
      <c r="G14" s="2">
        <f t="shared" si="3"/>
        <v>44.5</v>
      </c>
      <c r="H14" s="2">
        <f>E14*G14/100</f>
        <v>9.7899999999999991</v>
      </c>
    </row>
    <row r="15" spans="1:12" x14ac:dyDescent="0.25">
      <c r="A15" s="2" t="s">
        <v>11</v>
      </c>
      <c r="B15" s="8" t="s">
        <v>12</v>
      </c>
      <c r="C15" s="8" t="s">
        <v>12</v>
      </c>
      <c r="D15" s="8" t="s">
        <v>12</v>
      </c>
      <c r="E15" s="8" t="s">
        <v>12</v>
      </c>
      <c r="F15" s="2">
        <f>SUM(F12:F14)</f>
        <v>102.94999999999999</v>
      </c>
      <c r="G15" s="2">
        <f>F15*$K$2</f>
        <v>128.6875</v>
      </c>
      <c r="H15" s="2">
        <f>SUM(H12:H14)</f>
        <v>24.143750000000001</v>
      </c>
    </row>
    <row r="16" spans="1:12" x14ac:dyDescent="0.25">
      <c r="D16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</sheetData>
  <mergeCells count="8">
    <mergeCell ref="K11:L11"/>
    <mergeCell ref="A1:H1"/>
    <mergeCell ref="K1:L1"/>
    <mergeCell ref="A10:H10"/>
    <mergeCell ref="K4:L4"/>
    <mergeCell ref="K2:L2"/>
    <mergeCell ref="K8:L8"/>
    <mergeCell ref="K9:L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2025-09-29T11:23:53Z</dcterms:modified>
</cp:coreProperties>
</file>