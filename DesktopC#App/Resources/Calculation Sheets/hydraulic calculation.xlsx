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42457AE-4807-4BB0-90B6-B3A6B883FF2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25" i="1" s="1"/>
  <c r="F26" i="1" s="1"/>
  <c r="F19" i="1"/>
  <c r="F7" i="1"/>
  <c r="F8" i="1"/>
  <c r="F6" i="1"/>
  <c r="F30" i="1" l="1"/>
  <c r="F31" i="1" s="1"/>
  <c r="F4" i="1"/>
  <c r="F5" i="1"/>
  <c r="F3" i="1"/>
  <c r="F33" i="1" l="1"/>
  <c r="J3" i="1" s="1"/>
  <c r="F9" i="1"/>
</calcChain>
</file>

<file path=xl/sharedStrings.xml><?xml version="1.0" encoding="utf-8"?>
<sst xmlns="http://schemas.openxmlformats.org/spreadsheetml/2006/main" count="112" uniqueCount="73">
  <si>
    <t>Tag</t>
  </si>
  <si>
    <t>Fixture</t>
  </si>
  <si>
    <t>Quantity</t>
  </si>
  <si>
    <t>FU Each</t>
  </si>
  <si>
    <t>Total FU</t>
  </si>
  <si>
    <t>Total Fixture Units</t>
  </si>
  <si>
    <t>FU</t>
  </si>
  <si>
    <t>GPM</t>
  </si>
  <si>
    <t>WM</t>
  </si>
  <si>
    <t>Criteria</t>
  </si>
  <si>
    <t>Maximum Pressure Available at Elevation</t>
  </si>
  <si>
    <t>Minimum Pressure Available at Elevation</t>
  </si>
  <si>
    <t>PSI</t>
  </si>
  <si>
    <t>FT</t>
  </si>
  <si>
    <t>Pressure Loss Calculations</t>
  </si>
  <si>
    <t>Incoming Pressure</t>
  </si>
  <si>
    <t>Pressure Loss due to Height (Elevation of Highest Fixture x 0.434)</t>
  </si>
  <si>
    <t>Developed Length of Water Pipe</t>
  </si>
  <si>
    <t>Distance to Fathest Fixture</t>
  </si>
  <si>
    <t>Add 25% for Fittings</t>
  </si>
  <si>
    <t>Developed Length</t>
  </si>
  <si>
    <t>Allowable Friction Loss/100' =</t>
  </si>
  <si>
    <t>(100' x Pressure Available for Friction Loss)</t>
  </si>
  <si>
    <t>=</t>
  </si>
  <si>
    <t>PSI/100FT</t>
  </si>
  <si>
    <t>WC-1</t>
  </si>
  <si>
    <t>LAV-1</t>
  </si>
  <si>
    <t>Lavatory</t>
  </si>
  <si>
    <t>UNRL-1</t>
  </si>
  <si>
    <t>Uniral, Flush Tank</t>
  </si>
  <si>
    <t>Restaurant</t>
  </si>
  <si>
    <t>Pipe Sizing Chart</t>
  </si>
  <si>
    <t>Pipe Size</t>
  </si>
  <si>
    <t>Velocity</t>
  </si>
  <si>
    <t>Friction Loss</t>
  </si>
  <si>
    <t>ft/s</t>
  </si>
  <si>
    <t>1"</t>
  </si>
  <si>
    <t>2"</t>
  </si>
  <si>
    <t>3/8"</t>
  </si>
  <si>
    <t>1/2"</t>
  </si>
  <si>
    <t>3/4"</t>
  </si>
  <si>
    <t>1-1/4"</t>
  </si>
  <si>
    <t>1-1/2"</t>
  </si>
  <si>
    <t>Max Flow</t>
  </si>
  <si>
    <t>Pipe Material</t>
  </si>
  <si>
    <t>Copper Type L</t>
  </si>
  <si>
    <t>MP-1</t>
  </si>
  <si>
    <t>Mop Sink</t>
  </si>
  <si>
    <t>DF-1</t>
  </si>
  <si>
    <t>Drinking fountain</t>
  </si>
  <si>
    <t>3" Supply Shall Be Sufficient As Per 2022 CPC Table 610.4 Water Supply and Distribution</t>
  </si>
  <si>
    <t>Pipe Sizing Chart as per LAPC 610.5 &amp; 610.11</t>
  </si>
  <si>
    <t>Pipe Size (in.)</t>
  </si>
  <si>
    <t>Cold - Flush Valve</t>
  </si>
  <si>
    <t>Cold - Flush Tank</t>
  </si>
  <si>
    <t>Hot (max 5 ft/s)</t>
  </si>
  <si>
    <t>2-1/2"</t>
  </si>
  <si>
    <t>3"</t>
  </si>
  <si>
    <t>3-1/2"</t>
  </si>
  <si>
    <t>4"</t>
  </si>
  <si>
    <t>Maximum WSFU</t>
  </si>
  <si>
    <t>Exisitng water meter size</t>
  </si>
  <si>
    <t>Water Closet, 1.28 GPF Tank</t>
  </si>
  <si>
    <t>Total Water Demand as per Fixture Units versus GPM Conversion Tablke</t>
  </si>
  <si>
    <t>Water Service Sizing as per LAPC 610.5 &amp; 610.11</t>
  </si>
  <si>
    <t>Pressure Loss Through 2" Water Meter</t>
  </si>
  <si>
    <t>Pressure Loss Through 2" Reduced Pressure Backflow Preventer</t>
  </si>
  <si>
    <t>Required Residual Pressure at The Farthest Fixture Group</t>
  </si>
  <si>
    <t>Pressure Gain due to Booster Pump</t>
  </si>
  <si>
    <t>Elevation of Highest Fixture with respect to basement</t>
  </si>
  <si>
    <t>4 PSI / 100ft</t>
  </si>
  <si>
    <t>Total Pressure Loss:</t>
  </si>
  <si>
    <t>Available Pressure for Friction Loss (Incoming Pressure + Booster Pump Pressure Gain + Total Pressure Loss):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</si>
</sst>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77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1" fillId="0" borderId="0" xfId="0" applyFont="1" applyAlignment="1">
      <alignment vertical="center"/>
    </xf>
    <xf numFmtId="164" fontId="0" fillId="0" borderId="2" xfId="0" applyNumberForma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9" xfId="0" applyFont="1" applyBorder="1" applyAlignment="1">
      <alignment vertical="center"/>
    </xf>
    <xf numFmtId="2" fontId="1" fillId="0" borderId="0" xfId="0" applyNumberFormat="1" applyFont="1" applyAlignment="1">
      <alignment horizontal="right" vertical="center"/>
    </xf>
    <xf numFmtId="0" fontId="1" fillId="0" borderId="6" xfId="0" applyFont="1" applyBorder="1" applyAlignment="1">
      <alignment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2" fontId="0" fillId="0" borderId="0" xfId="0" applyNumberFormat="1" applyAlignment="1">
      <alignment horizontal="right" vertical="center"/>
    </xf>
    <xf numFmtId="0" fontId="1" fillId="0" borderId="8" xfId="0" applyFont="1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6" xfId="0" applyBorder="1" applyAlignment="1">
      <alignment horizontal="center" vertical="center"/>
    </xf>
    <xf numFmtId="164" fontId="0" fillId="0" borderId="2" xfId="0" applyNumberFormat="1" applyBorder="1" applyAlignment="1">
      <alignment horizontal="right" vertical="center"/>
    </xf>
    <xf numFmtId="2" fontId="0" fillId="0" borderId="2" xfId="0" applyNumberFormat="1" applyBorder="1" applyAlignment="1">
      <alignment horizontal="right" vertical="center"/>
    </xf>
    <xf numFmtId="0" fontId="0" fillId="0" borderId="7" xfId="0" applyBorder="1" applyAlignment="1">
      <alignment horizontal="left" vertical="center"/>
    </xf>
    <xf numFmtId="0" fontId="1" fillId="0" borderId="11" xfId="0" applyFont="1" applyBorder="1" applyAlignment="1">
      <alignment vertical="center"/>
    </xf>
    <xf numFmtId="0" fontId="0" fillId="0" borderId="11" xfId="0" applyBorder="1" applyAlignment="1">
      <alignment horizontal="center" vertical="center"/>
    </xf>
    <xf numFmtId="1" fontId="0" fillId="0" borderId="11" xfId="0" applyNumberFormat="1" applyBorder="1" applyAlignment="1">
      <alignment horizontal="center" vertical="center"/>
    </xf>
    <xf numFmtId="0" fontId="1" fillId="0" borderId="13" xfId="0" applyFont="1" applyBorder="1" applyAlignment="1">
      <alignment vertical="center"/>
    </xf>
    <xf numFmtId="0" fontId="0" fillId="0" borderId="12" xfId="0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" fontId="0" fillId="0" borderId="16" xfId="0" applyNumberFormat="1" applyBorder="1" applyAlignment="1">
      <alignment horizontal="center" vertical="center"/>
    </xf>
    <xf numFmtId="0" fontId="1" fillId="0" borderId="6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8" xfId="0" applyFont="1" applyBorder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1" fillId="0" borderId="10" xfId="0" applyFont="1" applyBorder="1" applyAlignment="1">
      <alignment horizontal="right" vertical="center"/>
    </xf>
    <xf numFmtId="0" fontId="1" fillId="0" borderId="3" xfId="0" applyFont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2" xfId="0" applyNumberForma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0" fillId="0" borderId="3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zoomScale="115" zoomScaleNormal="115" workbookViewId="0">
      <selection activeCell="T23" sqref="T23"/>
    </sheetView>
  </sheetViews>
  <sheetFormatPr defaultColWidth="8.85546875" defaultRowHeight="15" x14ac:dyDescent="0.25"/>
  <cols>
    <col min="1" max="1" width="18.28515625" style="1" customWidth="1"/>
    <col min="2" max="2" width="33.28515625" style="1" customWidth="1"/>
    <col min="3" max="3" width="21.85546875" style="1" customWidth="1"/>
    <col min="4" max="4" width="19.42578125" style="1" customWidth="1"/>
    <col min="5" max="5" width="2.85546875" style="1" customWidth="1"/>
    <col min="6" max="6" width="13.28515625" style="1" customWidth="1"/>
    <col min="7" max="8" width="8.85546875" style="1"/>
    <col min="9" max="9" width="12.140625" style="1" hidden="1" customWidth="1"/>
    <col min="10" max="10" width="4.5703125" style="1" hidden="1" customWidth="1"/>
    <col min="11" max="11" width="4.85546875" style="1" hidden="1" customWidth="1"/>
    <col min="12" max="12" width="4.5703125" style="1" hidden="1" customWidth="1"/>
    <col min="13" max="13" width="3.85546875" style="1" hidden="1" customWidth="1"/>
    <col min="14" max="14" width="8.85546875" style="1"/>
    <col min="15" max="15" width="13.28515625" style="1" bestFit="1" customWidth="1"/>
    <col min="16" max="16" width="16.85546875" style="1" bestFit="1" customWidth="1"/>
    <col min="17" max="17" width="16" style="1" bestFit="1" customWidth="1"/>
    <col min="18" max="18" width="14.85546875" style="1" bestFit="1" customWidth="1"/>
    <col min="19" max="16384" width="8.85546875" style="1"/>
  </cols>
  <sheetData>
    <row r="1" spans="1:18" ht="21.75" customHeight="1" thickBot="1" x14ac:dyDescent="0.3">
      <c r="A1" s="72" t="s">
        <v>64</v>
      </c>
      <c r="B1" s="73"/>
      <c r="C1" s="73"/>
      <c r="D1" s="73"/>
      <c r="E1" s="73"/>
      <c r="F1" s="73"/>
      <c r="G1" s="74"/>
      <c r="I1" s="72" t="s">
        <v>31</v>
      </c>
      <c r="J1" s="73"/>
      <c r="K1" s="73"/>
      <c r="L1" s="73"/>
      <c r="M1" s="74"/>
      <c r="O1" s="63" t="s">
        <v>51</v>
      </c>
      <c r="P1" s="64"/>
      <c r="Q1" s="64"/>
      <c r="R1" s="65"/>
    </row>
    <row r="2" spans="1:18" ht="15.75" thickBot="1" x14ac:dyDescent="0.3">
      <c r="A2" s="7" t="s">
        <v>0</v>
      </c>
      <c r="B2" s="3" t="s">
        <v>1</v>
      </c>
      <c r="C2" s="3" t="s">
        <v>2</v>
      </c>
      <c r="D2" s="75" t="s">
        <v>3</v>
      </c>
      <c r="E2" s="75"/>
      <c r="F2" s="47" t="s">
        <v>4</v>
      </c>
      <c r="G2" s="55"/>
      <c r="I2" s="14" t="s">
        <v>9</v>
      </c>
      <c r="M2" s="10"/>
      <c r="O2" s="14" t="s">
        <v>9</v>
      </c>
      <c r="P2" s="61"/>
      <c r="Q2" s="61"/>
      <c r="R2" s="62"/>
    </row>
    <row r="3" spans="1:18" x14ac:dyDescent="0.25">
      <c r="A3" s="8" t="s">
        <v>25</v>
      </c>
      <c r="B3" s="1" t="s">
        <v>62</v>
      </c>
      <c r="C3" s="1">
        <v>73</v>
      </c>
      <c r="D3" s="76">
        <v>5</v>
      </c>
      <c r="E3" s="76"/>
      <c r="F3" s="9">
        <f>C3*D3</f>
        <v>365</v>
      </c>
      <c r="G3" s="10"/>
      <c r="I3" s="18" t="s">
        <v>34</v>
      </c>
      <c r="J3" s="56">
        <f>F33</f>
        <v>4.9670400000000017</v>
      </c>
      <c r="K3" s="56"/>
      <c r="L3" s="44" t="s">
        <v>24</v>
      </c>
      <c r="M3" s="45"/>
      <c r="O3" s="18" t="s">
        <v>34</v>
      </c>
      <c r="P3" s="56" t="s">
        <v>70</v>
      </c>
      <c r="Q3" s="56"/>
      <c r="R3" s="68"/>
    </row>
    <row r="4" spans="1:18" x14ac:dyDescent="0.25">
      <c r="A4" s="8" t="s">
        <v>26</v>
      </c>
      <c r="B4" s="1" t="s">
        <v>27</v>
      </c>
      <c r="C4" s="1">
        <v>65</v>
      </c>
      <c r="D4" s="70">
        <v>1</v>
      </c>
      <c r="E4" s="70"/>
      <c r="F4" s="9">
        <f t="shared" ref="F4:F8" si="0">C4*D4</f>
        <v>65</v>
      </c>
      <c r="G4" s="10"/>
      <c r="I4" s="18" t="s">
        <v>44</v>
      </c>
      <c r="J4" s="44" t="s">
        <v>45</v>
      </c>
      <c r="K4" s="44"/>
      <c r="L4" s="44"/>
      <c r="M4" s="45"/>
      <c r="O4" s="18" t="s">
        <v>44</v>
      </c>
      <c r="P4" s="44" t="s">
        <v>45</v>
      </c>
      <c r="Q4" s="44"/>
      <c r="R4" s="45"/>
    </row>
    <row r="5" spans="1:18" x14ac:dyDescent="0.25">
      <c r="A5" s="8" t="s">
        <v>28</v>
      </c>
      <c r="B5" s="1" t="s">
        <v>29</v>
      </c>
      <c r="C5" s="1">
        <v>21</v>
      </c>
      <c r="D5" s="70">
        <v>4</v>
      </c>
      <c r="E5" s="70"/>
      <c r="F5" s="9">
        <f t="shared" si="0"/>
        <v>84</v>
      </c>
      <c r="G5" s="10"/>
      <c r="I5" s="8"/>
      <c r="M5" s="10"/>
      <c r="O5" s="58"/>
      <c r="P5" s="59"/>
      <c r="Q5" s="59"/>
      <c r="R5" s="60"/>
    </row>
    <row r="6" spans="1:18" x14ac:dyDescent="0.25">
      <c r="A6" s="8" t="s">
        <v>46</v>
      </c>
      <c r="B6" s="1" t="s">
        <v>47</v>
      </c>
      <c r="C6" s="1">
        <v>1</v>
      </c>
      <c r="D6" s="70">
        <v>3</v>
      </c>
      <c r="E6" s="70"/>
      <c r="F6" s="9">
        <f t="shared" ref="F6" si="1">C6*D6</f>
        <v>3</v>
      </c>
      <c r="G6" s="10"/>
      <c r="I6" s="8"/>
      <c r="M6" s="10"/>
      <c r="O6" s="69" t="s">
        <v>52</v>
      </c>
      <c r="P6" s="66" t="s">
        <v>60</v>
      </c>
      <c r="Q6" s="66"/>
      <c r="R6" s="67"/>
    </row>
    <row r="7" spans="1:18" x14ac:dyDescent="0.25">
      <c r="A7" s="8" t="s">
        <v>48</v>
      </c>
      <c r="B7" s="1" t="s">
        <v>49</v>
      </c>
      <c r="C7" s="1">
        <v>10</v>
      </c>
      <c r="D7" s="70">
        <v>0.5</v>
      </c>
      <c r="E7" s="70"/>
      <c r="F7" s="9">
        <f t="shared" ref="F7" si="2">C7*D7</f>
        <v>5</v>
      </c>
      <c r="G7" s="10"/>
      <c r="I7" s="8"/>
      <c r="M7" s="10"/>
      <c r="O7" s="69"/>
      <c r="P7" s="25" t="s">
        <v>53</v>
      </c>
      <c r="Q7" s="25" t="s">
        <v>54</v>
      </c>
      <c r="R7" s="28" t="s">
        <v>55</v>
      </c>
    </row>
    <row r="8" spans="1:18" ht="15.75" thickBot="1" x14ac:dyDescent="0.3">
      <c r="A8" s="50" t="s">
        <v>30</v>
      </c>
      <c r="B8" s="51"/>
      <c r="C8" s="1">
        <v>1</v>
      </c>
      <c r="D8" s="71">
        <v>60</v>
      </c>
      <c r="E8" s="71"/>
      <c r="F8" s="6">
        <f t="shared" si="0"/>
        <v>60</v>
      </c>
      <c r="G8" s="11"/>
      <c r="I8" s="7" t="s">
        <v>32</v>
      </c>
      <c r="J8" s="47" t="s">
        <v>43</v>
      </c>
      <c r="K8" s="47"/>
      <c r="L8" s="47" t="s">
        <v>33</v>
      </c>
      <c r="M8" s="55"/>
      <c r="O8" s="29" t="s">
        <v>39</v>
      </c>
      <c r="P8" s="27">
        <v>0</v>
      </c>
      <c r="Q8" s="26">
        <v>1</v>
      </c>
      <c r="R8" s="30">
        <v>1</v>
      </c>
    </row>
    <row r="9" spans="1:18" x14ac:dyDescent="0.25">
      <c r="A9" s="52" t="s">
        <v>5</v>
      </c>
      <c r="B9" s="53"/>
      <c r="C9" s="53"/>
      <c r="D9" s="53"/>
      <c r="E9" s="53"/>
      <c r="F9" s="5">
        <f>SUM(F3:F8)</f>
        <v>582</v>
      </c>
      <c r="G9" s="12" t="s">
        <v>6</v>
      </c>
      <c r="I9" s="19" t="s">
        <v>38</v>
      </c>
      <c r="J9" s="15">
        <v>1.1000000000000001</v>
      </c>
      <c r="K9" s="16" t="s">
        <v>7</v>
      </c>
      <c r="L9" s="17">
        <v>2.5</v>
      </c>
      <c r="M9" s="20" t="s">
        <v>35</v>
      </c>
      <c r="O9" s="29" t="s">
        <v>40</v>
      </c>
      <c r="P9" s="27">
        <v>0</v>
      </c>
      <c r="Q9" s="26">
        <v>6</v>
      </c>
      <c r="R9" s="30">
        <v>6</v>
      </c>
    </row>
    <row r="10" spans="1:18" x14ac:dyDescent="0.25">
      <c r="A10" s="42" t="s">
        <v>63</v>
      </c>
      <c r="B10" s="43"/>
      <c r="C10" s="43"/>
      <c r="D10" s="43"/>
      <c r="E10" s="43"/>
      <c r="F10" s="5">
        <v>155</v>
      </c>
      <c r="G10" s="12" t="s">
        <v>7</v>
      </c>
      <c r="I10" s="19" t="s">
        <v>39</v>
      </c>
      <c r="J10" s="15">
        <v>2</v>
      </c>
      <c r="K10" s="16" t="s">
        <v>7</v>
      </c>
      <c r="L10" s="17">
        <v>3</v>
      </c>
      <c r="M10" s="20" t="s">
        <v>35</v>
      </c>
      <c r="O10" s="29" t="s">
        <v>36</v>
      </c>
      <c r="P10" s="27">
        <v>0</v>
      </c>
      <c r="Q10" s="26">
        <v>15</v>
      </c>
      <c r="R10" s="30">
        <v>15</v>
      </c>
    </row>
    <row r="11" spans="1:18" x14ac:dyDescent="0.25">
      <c r="A11" s="42" t="s">
        <v>61</v>
      </c>
      <c r="B11" s="43"/>
      <c r="C11" s="43"/>
      <c r="D11" s="43"/>
      <c r="E11" s="43"/>
      <c r="F11" s="13" t="s">
        <v>37</v>
      </c>
      <c r="G11" s="12" t="s">
        <v>8</v>
      </c>
      <c r="I11" s="19" t="s">
        <v>40</v>
      </c>
      <c r="J11" s="15">
        <v>6</v>
      </c>
      <c r="K11" s="16" t="s">
        <v>7</v>
      </c>
      <c r="L11" s="17">
        <v>4</v>
      </c>
      <c r="M11" s="20" t="s">
        <v>35</v>
      </c>
      <c r="O11" s="29" t="s">
        <v>41</v>
      </c>
      <c r="P11" s="27">
        <v>0</v>
      </c>
      <c r="Q11" s="26">
        <v>30</v>
      </c>
      <c r="R11" s="30">
        <v>28</v>
      </c>
    </row>
    <row r="12" spans="1:18" x14ac:dyDescent="0.25">
      <c r="A12" s="39"/>
      <c r="B12" s="40"/>
      <c r="C12" s="40"/>
      <c r="D12" s="40"/>
      <c r="E12" s="40"/>
      <c r="F12" s="40"/>
      <c r="G12" s="41"/>
      <c r="I12" s="19" t="s">
        <v>36</v>
      </c>
      <c r="J12" s="15">
        <v>12.5</v>
      </c>
      <c r="K12" s="16" t="s">
        <v>7</v>
      </c>
      <c r="L12" s="17">
        <v>5</v>
      </c>
      <c r="M12" s="20" t="s">
        <v>35</v>
      </c>
      <c r="O12" s="29" t="s">
        <v>42</v>
      </c>
      <c r="P12" s="27">
        <v>14</v>
      </c>
      <c r="Q12" s="26">
        <v>56</v>
      </c>
      <c r="R12" s="30">
        <v>46</v>
      </c>
    </row>
    <row r="13" spans="1:18" ht="15.75" thickBot="1" x14ac:dyDescent="0.3">
      <c r="A13" s="14" t="s">
        <v>9</v>
      </c>
      <c r="B13" s="44"/>
      <c r="C13" s="44"/>
      <c r="D13" s="44"/>
      <c r="E13" s="44"/>
      <c r="F13" s="44"/>
      <c r="G13" s="45"/>
      <c r="I13" s="19" t="s">
        <v>41</v>
      </c>
      <c r="J13" s="15">
        <v>20</v>
      </c>
      <c r="K13" s="16" t="s">
        <v>7</v>
      </c>
      <c r="L13" s="17">
        <v>5.5</v>
      </c>
      <c r="M13" s="20" t="s">
        <v>35</v>
      </c>
      <c r="O13" s="29" t="s">
        <v>37</v>
      </c>
      <c r="P13" s="27">
        <v>95</v>
      </c>
      <c r="Q13" s="26">
        <v>205</v>
      </c>
      <c r="R13" s="30">
        <v>119</v>
      </c>
    </row>
    <row r="14" spans="1:18" x14ac:dyDescent="0.25">
      <c r="A14" s="37" t="s">
        <v>10</v>
      </c>
      <c r="B14" s="38"/>
      <c r="C14" s="38"/>
      <c r="D14" s="38"/>
      <c r="E14" s="38"/>
      <c r="F14" s="5">
        <v>83</v>
      </c>
      <c r="G14" s="12" t="s">
        <v>12</v>
      </c>
      <c r="I14" s="19" t="s">
        <v>42</v>
      </c>
      <c r="J14" s="15">
        <v>32.5</v>
      </c>
      <c r="K14" s="16" t="s">
        <v>7</v>
      </c>
      <c r="L14" s="17">
        <v>6.5</v>
      </c>
      <c r="M14" s="20" t="s">
        <v>35</v>
      </c>
      <c r="O14" s="29" t="s">
        <v>56</v>
      </c>
      <c r="P14" s="27">
        <v>329</v>
      </c>
      <c r="Q14" s="26">
        <v>455</v>
      </c>
      <c r="R14" s="30">
        <v>245</v>
      </c>
    </row>
    <row r="15" spans="1:18" ht="15.75" thickBot="1" x14ac:dyDescent="0.3">
      <c r="A15" s="37" t="s">
        <v>11</v>
      </c>
      <c r="B15" s="38"/>
      <c r="C15" s="38"/>
      <c r="D15" s="38"/>
      <c r="E15" s="38"/>
      <c r="F15" s="5">
        <v>62</v>
      </c>
      <c r="G15" s="12" t="s">
        <v>12</v>
      </c>
      <c r="I15" s="21" t="s">
        <v>37</v>
      </c>
      <c r="J15" s="22">
        <v>70</v>
      </c>
      <c r="K15" s="4" t="s">
        <v>7</v>
      </c>
      <c r="L15" s="23">
        <v>8</v>
      </c>
      <c r="M15" s="24" t="s">
        <v>35</v>
      </c>
      <c r="O15" s="29" t="s">
        <v>57</v>
      </c>
      <c r="P15" s="27">
        <v>666</v>
      </c>
      <c r="Q15" s="26">
        <v>719</v>
      </c>
      <c r="R15" s="30">
        <v>406</v>
      </c>
    </row>
    <row r="16" spans="1:18" x14ac:dyDescent="0.25">
      <c r="A16" s="37" t="s">
        <v>69</v>
      </c>
      <c r="B16" s="38"/>
      <c r="C16" s="38"/>
      <c r="D16" s="38"/>
      <c r="E16" s="38"/>
      <c r="F16" s="5">
        <v>117</v>
      </c>
      <c r="G16" s="12" t="s">
        <v>13</v>
      </c>
      <c r="O16" s="29" t="s">
        <v>58</v>
      </c>
      <c r="P16" s="27">
        <v>1091</v>
      </c>
      <c r="Q16" s="26">
        <v>1091</v>
      </c>
      <c r="R16" s="30">
        <v>585</v>
      </c>
    </row>
    <row r="17" spans="1:18" ht="15.75" thickBot="1" x14ac:dyDescent="0.3">
      <c r="A17" s="39"/>
      <c r="B17" s="40"/>
      <c r="C17" s="40"/>
      <c r="D17" s="40"/>
      <c r="E17" s="40"/>
      <c r="F17" s="40"/>
      <c r="G17" s="41"/>
      <c r="O17" s="31" t="s">
        <v>59</v>
      </c>
      <c r="P17" s="32">
        <v>1668</v>
      </c>
      <c r="Q17" s="33">
        <v>1668</v>
      </c>
      <c r="R17" s="34">
        <v>840</v>
      </c>
    </row>
    <row r="18" spans="1:18" ht="15.75" thickBot="1" x14ac:dyDescent="0.3">
      <c r="A18" s="35" t="s">
        <v>14</v>
      </c>
      <c r="B18" s="36"/>
      <c r="C18" s="40"/>
      <c r="D18" s="40"/>
      <c r="E18" s="40"/>
      <c r="F18" s="40"/>
      <c r="G18" s="41"/>
    </row>
    <row r="19" spans="1:18" x14ac:dyDescent="0.25">
      <c r="A19" s="48" t="s">
        <v>15</v>
      </c>
      <c r="B19" s="49"/>
      <c r="C19" s="49"/>
      <c r="D19" s="49"/>
      <c r="E19" s="49"/>
      <c r="F19" s="1">
        <f>F15</f>
        <v>62</v>
      </c>
      <c r="G19" s="10" t="s">
        <v>12</v>
      </c>
    </row>
    <row r="20" spans="1:18" x14ac:dyDescent="0.25">
      <c r="A20" s="48" t="s">
        <v>65</v>
      </c>
      <c r="B20" s="49"/>
      <c r="C20" s="49"/>
      <c r="D20" s="49"/>
      <c r="E20" s="49"/>
      <c r="F20" s="1">
        <v>-11.7</v>
      </c>
      <c r="G20" s="10" t="s">
        <v>12</v>
      </c>
    </row>
    <row r="21" spans="1:18" x14ac:dyDescent="0.25">
      <c r="A21" s="48" t="s">
        <v>66</v>
      </c>
      <c r="B21" s="49"/>
      <c r="C21" s="49"/>
      <c r="D21" s="49"/>
      <c r="E21" s="49"/>
      <c r="F21" s="1">
        <v>-14</v>
      </c>
      <c r="G21" s="10" t="s">
        <v>12</v>
      </c>
    </row>
    <row r="22" spans="1:18" x14ac:dyDescent="0.25">
      <c r="A22" s="48" t="s">
        <v>68</v>
      </c>
      <c r="B22" s="49"/>
      <c r="C22" s="49"/>
      <c r="D22" s="49"/>
      <c r="E22" s="49"/>
      <c r="F22" s="1">
        <v>45</v>
      </c>
      <c r="G22" s="10" t="s">
        <v>12</v>
      </c>
    </row>
    <row r="23" spans="1:18" x14ac:dyDescent="0.25">
      <c r="A23" s="48" t="s">
        <v>16</v>
      </c>
      <c r="B23" s="49"/>
      <c r="C23" s="49"/>
      <c r="D23" s="49"/>
      <c r="E23" s="49"/>
      <c r="F23" s="1">
        <f>-F16*0.434</f>
        <v>-50.777999999999999</v>
      </c>
      <c r="G23" s="10" t="s">
        <v>12</v>
      </c>
    </row>
    <row r="24" spans="1:18" ht="15.75" thickBot="1" x14ac:dyDescent="0.3">
      <c r="A24" s="50" t="s">
        <v>67</v>
      </c>
      <c r="B24" s="51"/>
      <c r="C24" s="51"/>
      <c r="D24" s="51"/>
      <c r="E24" s="51"/>
      <c r="F24" s="2">
        <v>-15</v>
      </c>
      <c r="G24" s="11" t="s">
        <v>12</v>
      </c>
    </row>
    <row r="25" spans="1:18" x14ac:dyDescent="0.25">
      <c r="A25" s="52" t="s">
        <v>71</v>
      </c>
      <c r="B25" s="53"/>
      <c r="C25" s="53"/>
      <c r="D25" s="53"/>
      <c r="E25" s="53"/>
      <c r="F25" s="5">
        <f>SUM(F23:F24)+SUM(F20:F21)</f>
        <v>-91.477999999999994</v>
      </c>
      <c r="G25" s="12" t="s">
        <v>12</v>
      </c>
    </row>
    <row r="26" spans="1:18" x14ac:dyDescent="0.25">
      <c r="A26" s="42" t="s">
        <v>72</v>
      </c>
      <c r="B26" s="43"/>
      <c r="C26" s="43"/>
      <c r="D26" s="43"/>
      <c r="E26" s="43"/>
      <c r="F26" s="5">
        <f>F25+F22+F19</f>
        <v>15.522000000000006</v>
      </c>
      <c r="G26" s="12" t="s">
        <v>12</v>
      </c>
    </row>
    <row r="27" spans="1:18" x14ac:dyDescent="0.25">
      <c r="A27" s="39"/>
      <c r="B27" s="40"/>
      <c r="C27" s="40"/>
      <c r="D27" s="40"/>
      <c r="E27" s="40"/>
      <c r="F27" s="40"/>
      <c r="G27" s="41"/>
    </row>
    <row r="28" spans="1:18" ht="15.75" thickBot="1" x14ac:dyDescent="0.3">
      <c r="A28" s="35" t="s">
        <v>17</v>
      </c>
      <c r="B28" s="36"/>
      <c r="C28" s="40"/>
      <c r="D28" s="40"/>
      <c r="E28" s="40"/>
      <c r="F28" s="40"/>
      <c r="G28" s="41"/>
    </row>
    <row r="29" spans="1:18" x14ac:dyDescent="0.25">
      <c r="A29" s="48" t="s">
        <v>18</v>
      </c>
      <c r="B29" s="49"/>
      <c r="C29" s="49"/>
      <c r="D29" s="49"/>
      <c r="E29" s="49"/>
      <c r="F29" s="1">
        <v>250</v>
      </c>
      <c r="G29" s="10" t="s">
        <v>13</v>
      </c>
    </row>
    <row r="30" spans="1:18" ht="15.75" thickBot="1" x14ac:dyDescent="0.3">
      <c r="A30" s="50" t="s">
        <v>19</v>
      </c>
      <c r="B30" s="51"/>
      <c r="C30" s="51"/>
      <c r="D30" s="51"/>
      <c r="E30" s="51"/>
      <c r="F30" s="2">
        <f>F29*25%</f>
        <v>62.5</v>
      </c>
      <c r="G30" s="11" t="s">
        <v>13</v>
      </c>
    </row>
    <row r="31" spans="1:18" x14ac:dyDescent="0.25">
      <c r="A31" s="52" t="s">
        <v>20</v>
      </c>
      <c r="B31" s="53"/>
      <c r="C31" s="53"/>
      <c r="D31" s="53"/>
      <c r="E31" s="53"/>
      <c r="F31" s="5">
        <f>SUM(F29:F30)</f>
        <v>312.5</v>
      </c>
      <c r="G31" s="12" t="s">
        <v>13</v>
      </c>
    </row>
    <row r="32" spans="1:18" x14ac:dyDescent="0.25">
      <c r="A32" s="8"/>
      <c r="G32" s="10"/>
    </row>
    <row r="33" spans="1:7" ht="15.75" thickBot="1" x14ac:dyDescent="0.3">
      <c r="A33" s="46" t="s">
        <v>21</v>
      </c>
      <c r="B33" s="44"/>
      <c r="C33" s="47" t="s">
        <v>22</v>
      </c>
      <c r="D33" s="47"/>
      <c r="E33" s="44" t="s">
        <v>23</v>
      </c>
      <c r="F33" s="57">
        <f>(100*F26)/F31</f>
        <v>4.9670400000000017</v>
      </c>
      <c r="G33" s="45" t="s">
        <v>24</v>
      </c>
    </row>
    <row r="34" spans="1:7" x14ac:dyDescent="0.25">
      <c r="A34" s="46"/>
      <c r="B34" s="44"/>
      <c r="C34" s="44" t="s">
        <v>20</v>
      </c>
      <c r="D34" s="44"/>
      <c r="E34" s="44"/>
      <c r="F34" s="57"/>
      <c r="G34" s="45"/>
    </row>
    <row r="35" spans="1:7" x14ac:dyDescent="0.25">
      <c r="A35" s="8"/>
      <c r="G35" s="10"/>
    </row>
    <row r="36" spans="1:7" ht="15.75" thickBot="1" x14ac:dyDescent="0.3">
      <c r="A36" s="54" t="s">
        <v>50</v>
      </c>
      <c r="B36" s="47"/>
      <c r="C36" s="47"/>
      <c r="D36" s="47"/>
      <c r="E36" s="47"/>
      <c r="F36" s="47"/>
      <c r="G36" s="55"/>
    </row>
  </sheetData>
  <mergeCells count="55">
    <mergeCell ref="D3:E3"/>
    <mergeCell ref="D6:E6"/>
    <mergeCell ref="D7:E7"/>
    <mergeCell ref="A8:B8"/>
    <mergeCell ref="A28:B28"/>
    <mergeCell ref="C28:G28"/>
    <mergeCell ref="O5:R5"/>
    <mergeCell ref="P2:R2"/>
    <mergeCell ref="O1:R1"/>
    <mergeCell ref="P4:R4"/>
    <mergeCell ref="P6:R6"/>
    <mergeCell ref="P3:R3"/>
    <mergeCell ref="O6:O7"/>
    <mergeCell ref="D4:E4"/>
    <mergeCell ref="D5:E5"/>
    <mergeCell ref="D8:E8"/>
    <mergeCell ref="I1:M1"/>
    <mergeCell ref="F2:G2"/>
    <mergeCell ref="A1:G1"/>
    <mergeCell ref="D2:E2"/>
    <mergeCell ref="A27:G27"/>
    <mergeCell ref="A22:E22"/>
    <mergeCell ref="A36:G36"/>
    <mergeCell ref="J3:K3"/>
    <mergeCell ref="L3:M3"/>
    <mergeCell ref="J4:M4"/>
    <mergeCell ref="J8:K8"/>
    <mergeCell ref="L8:M8"/>
    <mergeCell ref="E33:E34"/>
    <mergeCell ref="F33:F34"/>
    <mergeCell ref="G33:G34"/>
    <mergeCell ref="A29:E29"/>
    <mergeCell ref="A30:E30"/>
    <mergeCell ref="A31:E31"/>
    <mergeCell ref="A9:E9"/>
    <mergeCell ref="A10:E10"/>
    <mergeCell ref="A11:E11"/>
    <mergeCell ref="A12:G12"/>
    <mergeCell ref="B13:G13"/>
    <mergeCell ref="A33:B34"/>
    <mergeCell ref="C33:D33"/>
    <mergeCell ref="C34:D34"/>
    <mergeCell ref="A19:E19"/>
    <mergeCell ref="A20:E20"/>
    <mergeCell ref="A23:E23"/>
    <mergeCell ref="A24:E24"/>
    <mergeCell ref="A25:E25"/>
    <mergeCell ref="A26:E26"/>
    <mergeCell ref="A21:E21"/>
    <mergeCell ref="A18:B18"/>
    <mergeCell ref="A14:E14"/>
    <mergeCell ref="A15:E15"/>
    <mergeCell ref="A16:E16"/>
    <mergeCell ref="A17:G17"/>
    <mergeCell ref="C18:G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Omar Shehab</dc:creator>
  <cp:lastModifiedBy>user</cp:lastModifiedBy>
  <dcterms:created xsi:type="dcterms:W3CDTF">2015-06-05T18:17:20Z</dcterms:created>
  <dcterms:modified xsi:type="dcterms:W3CDTF">2025-10-23T14:39:11Z</dcterms:modified>
</cp:coreProperties>
</file>